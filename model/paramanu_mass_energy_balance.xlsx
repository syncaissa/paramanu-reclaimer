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alance" sheetId="2" state="visible" r:id="rId2"/>
    <sheet name="Charts" sheetId="3" state="visible" r:id="rId3"/>
    <sheet name="Inputs" sheetId="4" state="visible" r:id="rId4"/>
    <sheet name="Composition" sheetId="5" state="visible" r:id="rId5"/>
    <sheet name="Ele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#,##0.0"/>
    <numFmt numFmtId="166" formatCode="0.0000"/>
    <numFmt numFmtId="167" formatCode="0.000000"/>
    <numFmt numFmtId="168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4E9E"/>
    </font>
    <font>
      <b val="1"/>
      <color rgb="001F4E9E"/>
    </font>
    <font>
      <i val="1"/>
    </font>
    <font>
      <b val="1"/>
      <color rgb="00FFFFFF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7D6"/>
      </patternFill>
    </fill>
    <fill>
      <patternFill patternType="solid">
        <fgColor rgb="00EEEEEE"/>
      </patternFill>
    </fill>
    <fill>
      <patternFill patternType="solid">
        <fgColor rgb="001F4E9E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center" wrapText="1"/>
    </xf>
    <xf numFmtId="2" fontId="4" fillId="3" borderId="0" pivotButton="0" quotePrefix="0" xfId="0"/>
    <xf numFmtId="0" fontId="5" fillId="0" borderId="0" applyAlignment="1" pivotButton="0" quotePrefix="0" xfId="0">
      <alignment horizontal="center"/>
    </xf>
    <xf numFmtId="0" fontId="6" fillId="5" borderId="0" pivotButton="0" quotePrefix="0" xfId="0"/>
    <xf numFmtId="0" fontId="0" fillId="5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2" fillId="4" borderId="0" pivotButton="0" quotePrefix="0" xfId="0"/>
    <xf numFmtId="0" fontId="0" fillId="4" borderId="0" pivotButton="0" quotePrefix="0" xfId="0"/>
    <xf numFmtId="165" fontId="2" fillId="4" borderId="1" pivotButton="0" quotePrefix="0" xfId="0"/>
    <xf numFmtId="167" fontId="0" fillId="0" borderId="0" pivotButton="0" quotePrefix="0" xfId="0"/>
    <xf numFmtId="1" fontId="0" fillId="0" borderId="0" pivotButton="0" quotePrefix="0" xfId="0"/>
    <xf numFmtId="168" fontId="0" fillId="0" borderId="0" pivotButton="0" quotePrefix="0" xfId="0"/>
    <xf numFmtId="4" fontId="2" fillId="4" borderId="1" pivotButton="0" quotePrefix="0" xfId="0"/>
    <xf numFmtId="0" fontId="3" fillId="3" borderId="0" pivotButton="0" quotePrefix="0" xfId="0"/>
    <xf numFmtId="10" fontId="3" fillId="3" borderId="0" pivotButton="0" quotePrefix="0" xfId="0"/>
    <xf numFmtId="2" fontId="0" fillId="0" borderId="0" pivotButton="0" quotePrefix="0" xfId="0"/>
    <xf numFmtId="10" fontId="2" fillId="4" borderId="0" pivotButton="0" quotePrefix="0" xfId="0"/>
    <xf numFmtId="2" fontId="2" fillId="4" borderId="0" pivotButton="0" quotePrefix="0" xfId="0"/>
    <xf numFmtId="164" fontId="2" fillId="4" borderId="0" pivotButton="0" quotePrefix="0" xfId="0"/>
    <xf numFmtId="165" fontId="3" fillId="3" borderId="0" pivotButton="0" quotePrefix="0" xfId="0"/>
    <xf numFmtId="11" fontId="0" fillId="0" borderId="0" pivotButton="0" quotePrefix="0" xfId="0"/>
    <xf numFmtId="4" fontId="3" fillId="3" borderId="0" pivotButton="0" quotePrefix="0" xfId="0"/>
    <xf numFmtId="3" fontId="3" fillId="3" borderId="0" pivotButton="0" quotePrefix="0" xfId="0"/>
    <xf numFmtId="9" fontId="3" fillId="3" borderId="0" pivotButton="0" quotePrefix="0" xfId="0"/>
    <xf numFmtId="166" fontId="0" fillId="0" borderId="0" pivotButton="0" quotePrefix="0" xfId="0"/>
    <xf numFmtId="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Electricity: demand vs. on-site syngas supply</a:t>
            </a:r>
          </a:p>
        </rich>
      </tx>
    </title>
    <plotArea>
      <lineChart>
        <grouping val="standard"/>
        <ser>
          <idx val="0"/>
          <order val="0"/>
          <tx>
            <v>TOTAL DEMAND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'Balance'!$C$4:$G$4</f>
            </numRef>
          </cat>
          <val>
            <numRef>
              <f>'Balance'!$C$54:$G$54</f>
            </numRef>
          </val>
        </ser>
        <ser>
          <idx val="1"/>
          <order val="1"/>
          <tx>
            <v>Syngas -&gt; electricity (on-site)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'Balance'!$C$4:$G$4</f>
            </numRef>
          </cat>
          <val>
            <numRef>
              <f>'Balance'!$C$56:$G$56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Slider position 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kWh per wet tonne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Economics per wet tonne</a:t>
            </a:r>
          </a:p>
        </rich>
      </tx>
    </title>
    <plotArea>
      <lineChart>
        <grouping val="standard"/>
        <ser>
          <idx val="0"/>
          <order val="0"/>
          <tx>
            <v>NET MARGIN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'Balance'!$C$4:$G$4</f>
            </numRef>
          </cat>
          <val>
            <numRef>
              <f>'Balance'!$C$78:$G$78</f>
            </numRef>
          </val>
        </ser>
        <ser>
          <idx val="1"/>
          <order val="1"/>
          <tx>
            <v>Environmental harm avoided (monetized)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'Balance'!$C$4:$G$4</f>
            </numRef>
          </cat>
          <val>
            <numRef>
              <f>'Balance'!$C$79:$G$79</f>
            </numRef>
          </val>
        </ser>
        <ser>
          <idx val="2"/>
          <order val="2"/>
          <tx>
            <v>Societal value (margin + harm avoided)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'Balance'!$C$4:$G$4</f>
            </numRef>
          </cat>
          <val>
            <numRef>
              <f>'Balance'!$C$80:$G$80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Slider position 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per wet tonne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Where the dry solids go</a:t>
            </a:r>
          </a:p>
        </rich>
      </tx>
    </title>
    <plotArea>
      <lineChart>
        <grouping val="standard"/>
        <ser>
          <idx val="0"/>
          <order val="0"/>
          <tx>
            <v>Clean fines -&gt; reused as cover soil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'Balance'!$C$4:$G$4</f>
            </numRef>
          </cat>
          <val>
            <numRef>
              <f>'Balance'!$C$25:$G$25</f>
            </numRef>
          </val>
        </ser>
        <ser>
          <idx val="1"/>
          <order val="1"/>
          <tx>
            <v>Vitrified slag (balancing item)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'Balance'!$C$4:$G$4</f>
            </numRef>
          </cat>
          <val>
            <numRef>
              <f>'Balance'!$C$28:$G$28</f>
            </numRef>
          </val>
        </ser>
        <ser>
          <idx val="2"/>
          <order val="2"/>
          <tx>
            <v>Recovered products (metals + stable compounds)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'Balance'!$C$4:$G$4</f>
            </numRef>
          </cat>
          <val>
            <numRef>
              <f>'Balance'!$C$27:$G$27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Slider position 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kg per wet tonne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External electricity needed</a:t>
            </a:r>
          </a:p>
        </rich>
      </tx>
    </title>
    <plotArea>
      <lineChart>
        <grouping val="standard"/>
        <ser>
          <idx val="0"/>
          <order val="0"/>
          <tx>
            <v>External electricity needed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'Balance'!$C$4:$G$4</f>
            </numRef>
          </cat>
          <val>
            <numRef>
              <f>'Balance'!$C$59:$G$59</f>
            </numRef>
          </val>
        </ser>
        <ser>
          <idx val="1"/>
          <order val="1"/>
          <tx>
            <v>of which renewable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'Balance'!$C$4:$G$4</f>
            </numRef>
          </cat>
          <val>
            <numRef>
              <f>'Balance'!$C$60:$G$60</f>
            </numRef>
          </val>
        </ser>
        <ser>
          <idx val="2"/>
          <order val="2"/>
          <tx>
            <v>Surplus exported to grid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'Balance'!$C$4:$G$4</f>
            </numRef>
          </cat>
          <val>
            <numRef>
              <f>'Balance'!$C$61:$G$61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Slider position 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kWh per wet tonne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20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20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PARAMANU Reclaimer - Mass &amp; Energy Balance Model (draft v1)</t>
        </is>
      </c>
    </row>
    <row r="2">
      <c r="A2" t="inlineStr"/>
    </row>
    <row r="3">
      <c r="A3" t="inlineStr">
        <is>
          <t>Basis: 1 wet tonne of excavated landfill material. All flows are per tonne.</t>
        </is>
      </c>
    </row>
    <row r="4">
      <c r="A4" t="inlineStr">
        <is>
          <t>Five scenarios along the Commercial &lt;-&gt; Nature slider (s = 0 ... 1) are computed side by side.</t>
        </is>
      </c>
    </row>
    <row r="5">
      <c r="A5" t="inlineStr"/>
    </row>
    <row r="6">
      <c r="A6" s="2" t="inlineStr">
        <is>
          <t>HOW TO USE</t>
        </is>
      </c>
    </row>
    <row r="7">
      <c r="A7" t="inlineStr">
        <is>
          <t>1. Edit blue cells on a yellow background (Inputs, Composition, Elements, and slider positions on Balance row 4).</t>
        </is>
      </c>
    </row>
    <row r="8">
      <c r="A8" t="inlineStr">
        <is>
          <t>2. Everything else is a formula. Results are on the 'Balance' sheet; charts on 'Charts'.</t>
        </is>
      </c>
    </row>
    <row r="9">
      <c r="A9" t="inlineStr">
        <is>
          <t>3. Check Balance row 30 (mass closure) stays at 0.</t>
        </is>
      </c>
    </row>
    <row r="10">
      <c r="A10" t="inlineStr"/>
    </row>
    <row r="11">
      <c r="A11" s="2" t="inlineStr">
        <is>
          <t>SLIDER LOGIC (paper Section 5.2)</t>
        </is>
      </c>
    </row>
    <row r="12">
      <c r="A12" t="inlineStr">
        <is>
          <t>Element i is recovered when  Value_i + s * Harm_i  &gt;  Cost_i   (Nature mode ADDS harm avoided; it never ignores value)</t>
        </is>
      </c>
    </row>
    <row r="13">
      <c r="A13" t="inlineStr">
        <is>
          <t>Cost_i follows the Sherwood relation: Cost = K * c_eff^(-b), where c_eff = feed concentration x pre-sort concentration factor.</t>
        </is>
      </c>
    </row>
    <row r="14">
      <c r="A14" t="inlineStr">
        <is>
          <t>Policy overrides: 'Always' (e.g. chlorine captured by off-gas scrubber) and 'Immobilize' (element deliberately left in slag).</t>
        </is>
      </c>
    </row>
    <row r="15">
      <c r="A15" t="inlineStr">
        <is>
          <t>Security-sensitive elements and isotopes (nuclear / radiological) are intentionally NOT listed - see paper Section 8.</t>
        </is>
      </c>
    </row>
    <row r="16">
      <c r="A16" t="inlineStr">
        <is>
          <t>Slider-dependent process settings (fines vitrified, extra treatment energy, renewable share) interpolate linearly between the two ends.</t>
        </is>
      </c>
    </row>
    <row r="17">
      <c r="A17" t="inlineStr"/>
    </row>
    <row r="18">
      <c r="A18" s="2" t="inlineStr">
        <is>
          <t>IMPORTANT CAVEATS</t>
        </is>
      </c>
    </row>
    <row r="19">
      <c r="A19" t="inlineStr">
        <is>
          <t>* All default numbers are ORDER-OF-MAGNITUDE PLACEHOLDERS for a first draft, not measured data.</t>
        </is>
      </c>
    </row>
    <row r="20">
      <c r="A20" t="inlineStr">
        <is>
          <t>* Replace them with site sampling data (ICP-MS, XRF) and vendor figures before publishing.</t>
        </is>
      </c>
    </row>
    <row r="21">
      <c r="A21" t="inlineStr">
        <is>
          <t>* Harm_i ($/kg) is a monetized environmental damage cost - the paper must justify these values (Section 5.3).</t>
        </is>
      </c>
    </row>
    <row r="22">
      <c r="A22" t="inlineStr">
        <is>
          <t>* Plasma gasification energy figures vary widely in practice; see Teesside (2016) for a cautionary case.</t>
        </is>
      </c>
    </row>
    <row r="23">
      <c r="A23" t="inlineStr">
        <is>
          <t>* Gas mass balance is simplified: oxidant is lumped into syngas; flue-gas CO2/H2O not tracked.</t>
        </is>
      </c>
    </row>
    <row r="24">
      <c r="A24" t="inlineStr">
        <is>
          <t>* Metal prices are editable assumptions (Elements sheet column F) - update to current market prices.</t>
        </is>
      </c>
    </row>
    <row r="25">
      <c r="A25" t="inlineStr"/>
    </row>
    <row r="26">
      <c r="A26" s="2" t="inlineStr">
        <is>
          <t>COLOR KEY</t>
        </is>
      </c>
    </row>
    <row r="27">
      <c r="A27" t="inlineStr">
        <is>
          <t>Blue on yellow = input you can change. Black = formula. Grey rows = totals.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PARAMANU Reclaimer - mass &amp; energy balance per wet tonne</t>
        </is>
      </c>
    </row>
    <row r="2">
      <c r="A2" t="inlineStr">
        <is>
          <t>Columns = positions on the Commercial &lt;-&gt; Nature slider. Edit slider values in row 4.</t>
        </is>
      </c>
    </row>
    <row r="4">
      <c r="A4" s="3" t="inlineStr">
        <is>
          <t>Slider position s</t>
        </is>
      </c>
      <c r="B4" s="3" t="inlineStr">
        <is>
          <t>Unit</t>
        </is>
      </c>
      <c r="C4" s="4" t="n">
        <v>0</v>
      </c>
      <c r="D4" s="4" t="n">
        <v>0.25</v>
      </c>
      <c r="E4" s="4" t="n">
        <v>0.5</v>
      </c>
      <c r="F4" s="4" t="n">
        <v>0.75</v>
      </c>
      <c r="G4" s="4" t="n">
        <v>1</v>
      </c>
    </row>
    <row r="5">
      <c r="C5" s="5" t="inlineStr">
        <is>
          <t>Commercial</t>
        </is>
      </c>
      <c r="D5" s="5" t="inlineStr"/>
      <c r="E5" s="5" t="inlineStr">
        <is>
          <t>Balanced</t>
        </is>
      </c>
      <c r="F5" s="5" t="inlineStr"/>
      <c r="G5" s="5" t="inlineStr">
        <is>
          <t>Nature</t>
        </is>
      </c>
    </row>
    <row r="7">
      <c r="A7" s="6" t="inlineStr">
        <is>
          <t>SLIDER-DEPENDENT SETTINGS</t>
        </is>
      </c>
      <c r="B7" s="7" t="n"/>
      <c r="C7" s="7" t="n"/>
      <c r="D7" s="7" t="n"/>
      <c r="E7" s="7" t="n"/>
      <c r="F7" s="7" t="n"/>
      <c r="G7" s="7" t="n"/>
    </row>
    <row r="8">
      <c r="A8" t="inlineStr">
        <is>
          <t>Fines vitrified fraction</t>
        </is>
      </c>
      <c r="B8" t="inlineStr">
        <is>
          <t>fraction</t>
        </is>
      </c>
      <c r="C8" s="8">
        <f>Inputs!$B$34+C$4*(Inputs!$C$34-Inputs!$B$34)</f>
        <v/>
      </c>
      <c r="D8" s="8">
        <f>Inputs!$B$34+D$4*(Inputs!$C$34-Inputs!$B$34)</f>
        <v/>
      </c>
      <c r="E8" s="8">
        <f>Inputs!$B$34+E$4*(Inputs!$C$34-Inputs!$B$34)</f>
        <v/>
      </c>
      <c r="F8" s="8">
        <f>Inputs!$B$34+F$4*(Inputs!$C$34-Inputs!$B$34)</f>
        <v/>
      </c>
      <c r="G8" s="8">
        <f>Inputs!$B$34+G$4*(Inputs!$C$34-Inputs!$B$34)</f>
        <v/>
      </c>
    </row>
    <row r="9">
      <c r="A9" t="inlineStr">
        <is>
          <t>Hydromet + water treatment intensity</t>
        </is>
      </c>
      <c r="B9" t="inlineStr">
        <is>
          <t>kWh/t</t>
        </is>
      </c>
      <c r="C9" s="9">
        <f>Inputs!$B$35+C$4*(Inputs!$C$35-Inputs!$B$35)</f>
        <v/>
      </c>
      <c r="D9" s="9">
        <f>Inputs!$B$35+D$4*(Inputs!$C$35-Inputs!$B$35)</f>
        <v/>
      </c>
      <c r="E9" s="9">
        <f>Inputs!$B$35+E$4*(Inputs!$C$35-Inputs!$B$35)</f>
        <v/>
      </c>
      <c r="F9" s="9">
        <f>Inputs!$B$35+F$4*(Inputs!$C$35-Inputs!$B$35)</f>
        <v/>
      </c>
      <c r="G9" s="9">
        <f>Inputs!$B$35+G$4*(Inputs!$C$35-Inputs!$B$35)</f>
        <v/>
      </c>
    </row>
    <row r="10">
      <c r="A10" t="inlineStr">
        <is>
          <t>PFAS / toxin destruction intensity</t>
        </is>
      </c>
      <c r="B10" t="inlineStr">
        <is>
          <t>kWh/t</t>
        </is>
      </c>
      <c r="C10" s="9">
        <f>Inputs!$B$36+C$4*(Inputs!$C$36-Inputs!$B$36)</f>
        <v/>
      </c>
      <c r="D10" s="9">
        <f>Inputs!$B$36+D$4*(Inputs!$C$36-Inputs!$B$36)</f>
        <v/>
      </c>
      <c r="E10" s="9">
        <f>Inputs!$B$36+E$4*(Inputs!$C$36-Inputs!$B$36)</f>
        <v/>
      </c>
      <c r="F10" s="9">
        <f>Inputs!$B$36+F$4*(Inputs!$C$36-Inputs!$B$36)</f>
        <v/>
      </c>
      <c r="G10" s="9">
        <f>Inputs!$B$36+G$4*(Inputs!$C$36-Inputs!$B$36)</f>
        <v/>
      </c>
    </row>
    <row r="11">
      <c r="A11" t="inlineStr">
        <is>
          <t>Electrokinetic treatment intensity</t>
        </is>
      </c>
      <c r="B11" t="inlineStr">
        <is>
          <t>kWh/t</t>
        </is>
      </c>
      <c r="C11" s="9">
        <f>Inputs!$B$37+C$4*(Inputs!$C$37-Inputs!$B$37)</f>
        <v/>
      </c>
      <c r="D11" s="9">
        <f>Inputs!$B$37+D$4*(Inputs!$C$37-Inputs!$B$37)</f>
        <v/>
      </c>
      <c r="E11" s="9">
        <f>Inputs!$B$37+E$4*(Inputs!$C$37-Inputs!$B$37)</f>
        <v/>
      </c>
      <c r="F11" s="9">
        <f>Inputs!$B$37+F$4*(Inputs!$C$37-Inputs!$B$37)</f>
        <v/>
      </c>
      <c r="G11" s="9">
        <f>Inputs!$B$37+G$4*(Inputs!$C$37-Inputs!$B$37)</f>
        <v/>
      </c>
    </row>
    <row r="12">
      <c r="A12" t="inlineStr">
        <is>
          <t>Renewable share of purchased electricity</t>
        </is>
      </c>
      <c r="B12" t="inlineStr">
        <is>
          <t>fraction</t>
        </is>
      </c>
      <c r="C12" s="8">
        <f>Inputs!$B$38+C$4*(Inputs!$C$38-Inputs!$B$38)</f>
        <v/>
      </c>
      <c r="D12" s="8">
        <f>Inputs!$B$38+D$4*(Inputs!$C$38-Inputs!$B$38)</f>
        <v/>
      </c>
      <c r="E12" s="8">
        <f>Inputs!$B$38+E$4*(Inputs!$C$38-Inputs!$B$38)</f>
        <v/>
      </c>
      <c r="F12" s="8">
        <f>Inputs!$B$38+F$4*(Inputs!$C$38-Inputs!$B$38)</f>
        <v/>
      </c>
      <c r="G12" s="8">
        <f>Inputs!$B$38+G$4*(Inputs!$C$38-Inputs!$B$38)</f>
        <v/>
      </c>
    </row>
    <row r="14">
      <c r="A14" s="6" t="inlineStr">
        <is>
          <t>MASS BALANCE</t>
        </is>
      </c>
      <c r="B14" s="7" t="n"/>
      <c r="C14" s="7" t="n"/>
      <c r="D14" s="7" t="n"/>
      <c r="E14" s="7" t="n"/>
      <c r="F14" s="7" t="n"/>
      <c r="G14" s="7" t="n"/>
    </row>
    <row r="15">
      <c r="A15" s="10" t="inlineStr">
        <is>
          <t>Inputs</t>
        </is>
      </c>
    </row>
    <row r="16">
      <c r="A16" t="inlineStr">
        <is>
          <t>Wet feed</t>
        </is>
      </c>
      <c r="B16" t="inlineStr">
        <is>
          <t>kg</t>
        </is>
      </c>
      <c r="C16" s="11">
        <f>Inputs!$B$4</f>
        <v/>
      </c>
      <c r="D16" s="11">
        <f>Inputs!$B$4</f>
        <v/>
      </c>
      <c r="E16" s="11">
        <f>Inputs!$B$4</f>
        <v/>
      </c>
      <c r="F16" s="11">
        <f>Inputs!$B$4</f>
        <v/>
      </c>
      <c r="G16" s="11">
        <f>Inputs!$B$4</f>
        <v/>
      </c>
    </row>
    <row r="17">
      <c r="A17" t="inlineStr">
        <is>
          <t xml:space="preserve">   memo: moisture</t>
        </is>
      </c>
      <c r="B17" t="inlineStr">
        <is>
          <t>kg</t>
        </is>
      </c>
      <c r="C17" s="11">
        <f>Inputs!$B$4*Inputs!$B$5</f>
        <v/>
      </c>
      <c r="D17" s="11">
        <f>Inputs!$B$4*Inputs!$B$5</f>
        <v/>
      </c>
      <c r="E17" s="11">
        <f>Inputs!$B$4*Inputs!$B$5</f>
        <v/>
      </c>
      <c r="F17" s="11">
        <f>Inputs!$B$4*Inputs!$B$5</f>
        <v/>
      </c>
      <c r="G17" s="11">
        <f>Inputs!$B$4*Inputs!$B$5</f>
        <v/>
      </c>
    </row>
    <row r="18">
      <c r="A18" t="inlineStr">
        <is>
          <t xml:space="preserve">   memo: dry solids</t>
        </is>
      </c>
      <c r="B18" t="inlineStr">
        <is>
          <t>kg</t>
        </is>
      </c>
      <c r="C18" s="11">
        <f>Composition!$C$13</f>
        <v/>
      </c>
      <c r="D18" s="11">
        <f>Composition!$C$13</f>
        <v/>
      </c>
      <c r="E18" s="11">
        <f>Composition!$C$13</f>
        <v/>
      </c>
      <c r="F18" s="11">
        <f>Composition!$C$13</f>
        <v/>
      </c>
      <c r="G18" s="11">
        <f>Composition!$C$13</f>
        <v/>
      </c>
    </row>
    <row r="19">
      <c r="A19" t="inlineStr">
        <is>
          <t>Oxidant (O2 / steam) to gasifier</t>
        </is>
      </c>
      <c r="B19" t="inlineStr">
        <is>
          <t>kg</t>
        </is>
      </c>
      <c r="C19" s="11">
        <f>Composition!$I$13*Inputs!$B$6</f>
        <v/>
      </c>
      <c r="D19" s="11">
        <f>Composition!$I$13*Inputs!$B$6</f>
        <v/>
      </c>
      <c r="E19" s="11">
        <f>Composition!$I$13*Inputs!$B$6</f>
        <v/>
      </c>
      <c r="F19" s="11">
        <f>Composition!$I$13*Inputs!$B$6</f>
        <v/>
      </c>
      <c r="G19" s="11">
        <f>Composition!$I$13*Inputs!$B$6</f>
        <v/>
      </c>
    </row>
    <row r="20">
      <c r="A20" t="inlineStr">
        <is>
          <t>Reagents bound into stable compounds</t>
        </is>
      </c>
      <c r="B20" t="inlineStr">
        <is>
          <t>kg</t>
        </is>
      </c>
      <c r="C20" s="12">
        <f>Elements!T27-Elements!T26</f>
        <v/>
      </c>
      <c r="D20" s="12">
        <f>Elements!U27-Elements!U26</f>
        <v/>
      </c>
      <c r="E20" s="12">
        <f>Elements!V27-Elements!V26</f>
        <v/>
      </c>
      <c r="F20" s="12">
        <f>Elements!W27-Elements!W26</f>
        <v/>
      </c>
      <c r="G20" s="12">
        <f>Elements!X27-Elements!X26</f>
        <v/>
      </c>
    </row>
    <row r="21">
      <c r="A21" s="13" t="inlineStr">
        <is>
          <t>TOTAL IN</t>
        </is>
      </c>
      <c r="B21" s="14" t="inlineStr">
        <is>
          <t>kg</t>
        </is>
      </c>
      <c r="C21" s="15">
        <f>C16+C19+C20</f>
        <v/>
      </c>
      <c r="D21" s="15">
        <f>D16+D19+D20</f>
        <v/>
      </c>
      <c r="E21" s="15">
        <f>E16+E19+E20</f>
        <v/>
      </c>
      <c r="F21" s="15">
        <f>F16+F19+F20</f>
        <v/>
      </c>
      <c r="G21" s="15">
        <f>G16+G19+G20</f>
        <v/>
      </c>
    </row>
    <row r="22">
      <c r="A22" s="10" t="inlineStr">
        <is>
          <t>Outputs</t>
        </is>
      </c>
    </row>
    <row r="23">
      <c r="A23" t="inlineStr">
        <is>
          <t>Water vapour -&gt; condensed &amp; treated</t>
        </is>
      </c>
      <c r="B23" t="inlineStr">
        <is>
          <t>kg</t>
        </is>
      </c>
      <c r="C23" s="11">
        <f>C17</f>
        <v/>
      </c>
      <c r="D23" s="11">
        <f>D17</f>
        <v/>
      </c>
      <c r="E23" s="11">
        <f>E17</f>
        <v/>
      </c>
      <c r="F23" s="11">
        <f>F17</f>
        <v/>
      </c>
      <c r="G23" s="11">
        <f>G17</f>
        <v/>
      </c>
    </row>
    <row r="24">
      <c r="A24" t="inlineStr">
        <is>
          <t>Syngas (organics + oxidant)</t>
        </is>
      </c>
      <c r="B24" t="inlineStr">
        <is>
          <t>kg</t>
        </is>
      </c>
      <c r="C24" s="11">
        <f>Composition!$I$13+C19</f>
        <v/>
      </c>
      <c r="D24" s="11">
        <f>Composition!$I$13+D19</f>
        <v/>
      </c>
      <c r="E24" s="11">
        <f>Composition!$I$13+E19</f>
        <v/>
      </c>
      <c r="F24" s="11">
        <f>Composition!$I$13+F19</f>
        <v/>
      </c>
      <c r="G24" s="11">
        <f>Composition!$I$13+G19</f>
        <v/>
      </c>
    </row>
    <row r="25">
      <c r="A25" t="inlineStr">
        <is>
          <t>Clean fines -&gt; reused as cover soil</t>
        </is>
      </c>
      <c r="B25" t="inlineStr">
        <is>
          <t>kg</t>
        </is>
      </c>
      <c r="C25" s="11">
        <f>Composition!$C$4*(1-C8)</f>
        <v/>
      </c>
      <c r="D25" s="11">
        <f>Composition!$C$4*(1-D8)</f>
        <v/>
      </c>
      <c r="E25" s="11">
        <f>Composition!$C$4*(1-E8)</f>
        <v/>
      </c>
      <c r="F25" s="11">
        <f>Composition!$C$4*(1-F8)</f>
        <v/>
      </c>
      <c r="G25" s="11">
        <f>Composition!$C$4*(1-G8)</f>
        <v/>
      </c>
    </row>
    <row r="26">
      <c r="A26" t="inlineStr">
        <is>
          <t>Aggregate (washed glass / stone)</t>
        </is>
      </c>
      <c r="B26" t="inlineStr">
        <is>
          <t>kg</t>
        </is>
      </c>
      <c r="C26" s="11">
        <f>Composition!$C$7*Inputs!$B$16</f>
        <v/>
      </c>
      <c r="D26" s="11">
        <f>Composition!$C$7*Inputs!$B$16</f>
        <v/>
      </c>
      <c r="E26" s="11">
        <f>Composition!$C$7*Inputs!$B$16</f>
        <v/>
      </c>
      <c r="F26" s="11">
        <f>Composition!$C$7*Inputs!$B$16</f>
        <v/>
      </c>
      <c r="G26" s="11">
        <f>Composition!$C$7*Inputs!$B$16</f>
        <v/>
      </c>
    </row>
    <row r="27">
      <c r="A27" t="inlineStr">
        <is>
          <t>Recovered products (metals + stable compounds)</t>
        </is>
      </c>
      <c r="B27" t="inlineStr">
        <is>
          <t>kg</t>
        </is>
      </c>
      <c r="C27" s="12">
        <f>Elements!T27</f>
        <v/>
      </c>
      <c r="D27" s="12">
        <f>Elements!U27</f>
        <v/>
      </c>
      <c r="E27" s="12">
        <f>Elements!V27</f>
        <v/>
      </c>
      <c r="F27" s="12">
        <f>Elements!W27</f>
        <v/>
      </c>
      <c r="G27" s="12">
        <f>Elements!X27</f>
        <v/>
      </c>
    </row>
    <row r="28">
      <c r="A28" t="inlineStr">
        <is>
          <t>Vitrified slag (balancing item)</t>
        </is>
      </c>
      <c r="B28" t="inlineStr">
        <is>
          <t>kg</t>
        </is>
      </c>
      <c r="C28" s="11">
        <f>C18-Composition!$I$13-C25-C26-Elements!T26</f>
        <v/>
      </c>
      <c r="D28" s="11">
        <f>D18-Composition!$I$13-D25-D26-Elements!U26</f>
        <v/>
      </c>
      <c r="E28" s="11">
        <f>E18-Composition!$I$13-E25-E26-Elements!V26</f>
        <v/>
      </c>
      <c r="F28" s="11">
        <f>F18-Composition!$I$13-F25-F26-Elements!W26</f>
        <v/>
      </c>
      <c r="G28" s="11">
        <f>G18-Composition!$I$13-G25-G26-Elements!X26</f>
        <v/>
      </c>
    </row>
    <row r="29">
      <c r="A29" s="13" t="inlineStr">
        <is>
          <t>TOTAL OUT</t>
        </is>
      </c>
      <c r="B29" s="14" t="inlineStr">
        <is>
          <t>kg</t>
        </is>
      </c>
      <c r="C29" s="15">
        <f>C23+C24+C25+C26+C27+C28</f>
        <v/>
      </c>
      <c r="D29" s="15">
        <f>D23+D24+D25+D26+D27+D28</f>
        <v/>
      </c>
      <c r="E29" s="15">
        <f>E23+E24+E25+E26+E27+E28</f>
        <v/>
      </c>
      <c r="F29" s="15">
        <f>F23+F24+F25+F26+F27+F28</f>
        <v/>
      </c>
      <c r="G29" s="15">
        <f>G23+G24+G25+G26+G27+G28</f>
        <v/>
      </c>
    </row>
    <row r="30">
      <c r="A30" t="inlineStr">
        <is>
          <t>Closure check (out - in), must be 0</t>
        </is>
      </c>
      <c r="B30" t="inlineStr">
        <is>
          <t>kg</t>
        </is>
      </c>
      <c r="C30" s="16">
        <f>ROUND(C29-C21,6)</f>
        <v/>
      </c>
      <c r="D30" s="16">
        <f>ROUND(D29-D21,6)</f>
        <v/>
      </c>
      <c r="E30" s="16">
        <f>ROUND(E29-E21,6)</f>
        <v/>
      </c>
      <c r="F30" s="16">
        <f>ROUND(F29-F21,6)</f>
        <v/>
      </c>
      <c r="G30" s="16">
        <f>ROUND(G29-G21,6)</f>
        <v/>
      </c>
    </row>
    <row r="32">
      <c r="A32" t="inlineStr">
        <is>
          <t>Recovered elements (elemental mass)</t>
        </is>
      </c>
      <c r="B32" t="inlineStr">
        <is>
          <t>kg</t>
        </is>
      </c>
      <c r="C32" s="12">
        <f>Elements!T26</f>
        <v/>
      </c>
      <c r="D32" s="12">
        <f>Elements!U26</f>
        <v/>
      </c>
      <c r="E32" s="12">
        <f>Elements!V26</f>
        <v/>
      </c>
      <c r="F32" s="12">
        <f>Elements!W26</f>
        <v/>
      </c>
      <c r="G32" s="12">
        <f>Elements!X26</f>
        <v/>
      </c>
    </row>
    <row r="33">
      <c r="A33" t="inlineStr">
        <is>
          <t>Number of elements recovered</t>
        </is>
      </c>
      <c r="B33" t="inlineStr">
        <is>
          <t>count</t>
        </is>
      </c>
      <c r="C33" s="17">
        <f>Elements!O26</f>
        <v/>
      </c>
      <c r="D33" s="17">
        <f>Elements!P26</f>
        <v/>
      </c>
      <c r="E33" s="17">
        <f>Elements!Q26</f>
        <v/>
      </c>
      <c r="F33" s="17">
        <f>Elements!R26</f>
        <v/>
      </c>
      <c r="G33" s="17">
        <f>Elements!S26</f>
        <v/>
      </c>
    </row>
    <row r="34">
      <c r="A34" t="inlineStr">
        <is>
          <t>Slag as share of dry solids</t>
        </is>
      </c>
      <c r="B34" t="inlineStr">
        <is>
          <t>%</t>
        </is>
      </c>
      <c r="C34" s="18">
        <f>C28/C18</f>
        <v/>
      </c>
      <c r="D34" s="18">
        <f>D28/D18</f>
        <v/>
      </c>
      <c r="E34" s="18">
        <f>E28/E18</f>
        <v/>
      </c>
      <c r="F34" s="18">
        <f>F28/F18</f>
        <v/>
      </c>
      <c r="G34" s="18">
        <f>G28/G18</f>
        <v/>
      </c>
    </row>
    <row r="36">
      <c r="A36" s="6" t="inlineStr">
        <is>
          <t>HYDROGEN &amp; WATER</t>
        </is>
      </c>
      <c r="B36" s="7" t="n"/>
      <c r="C36" s="7" t="n"/>
      <c r="D36" s="7" t="n"/>
      <c r="E36" s="7" t="n"/>
      <c r="F36" s="7" t="n"/>
      <c r="G36" s="7" t="n"/>
    </row>
    <row r="37">
      <c r="A37" t="inlineStr">
        <is>
          <t>Syngas chemical energy</t>
        </is>
      </c>
      <c r="B37" t="inlineStr">
        <is>
          <t>kWh</t>
        </is>
      </c>
      <c r="C37" s="11">
        <f>Composition!$J$13*Inputs!$B$9</f>
        <v/>
      </c>
      <c r="D37" s="11">
        <f>Composition!$J$13*Inputs!$B$9</f>
        <v/>
      </c>
      <c r="E37" s="11">
        <f>Composition!$J$13*Inputs!$B$9</f>
        <v/>
      </c>
      <c r="F37" s="11">
        <f>Composition!$J$13*Inputs!$B$9</f>
        <v/>
      </c>
      <c r="G37" s="11">
        <f>Composition!$J$13*Inputs!$B$9</f>
        <v/>
      </c>
    </row>
    <row r="38">
      <c r="A38" t="inlineStr">
        <is>
          <t>Hydrogen in syngas</t>
        </is>
      </c>
      <c r="B38" t="inlineStr">
        <is>
          <t>kg</t>
        </is>
      </c>
      <c r="C38" s="12">
        <f>C37*Inputs!$B$11/Inputs!$B$12</f>
        <v/>
      </c>
      <c r="D38" s="12">
        <f>D37*Inputs!$B$11/Inputs!$B$12</f>
        <v/>
      </c>
      <c r="E38" s="12">
        <f>E37*Inputs!$B$11/Inputs!$B$12</f>
        <v/>
      </c>
      <c r="F38" s="12">
        <f>F37*Inputs!$B$11/Inputs!$B$12</f>
        <v/>
      </c>
      <c r="G38" s="12">
        <f>G37*Inputs!$B$11/Inputs!$B$12</f>
        <v/>
      </c>
    </row>
    <row r="39">
      <c r="A39" t="inlineStr">
        <is>
          <t>Water formed when that H2 is used (x9)</t>
        </is>
      </c>
      <c r="B39" t="inlineStr">
        <is>
          <t>kg</t>
        </is>
      </c>
      <c r="C39" s="11">
        <f>C38*9</f>
        <v/>
      </c>
      <c r="D39" s="11">
        <f>D38*9</f>
        <v/>
      </c>
      <c r="E39" s="11">
        <f>E38*9</f>
        <v/>
      </c>
      <c r="F39" s="11">
        <f>F38*9</f>
        <v/>
      </c>
      <c r="G39" s="11">
        <f>G38*9</f>
        <v/>
      </c>
    </row>
    <row r="40">
      <c r="A40" t="inlineStr">
        <is>
          <t>Process water make-up</t>
        </is>
      </c>
      <c r="B40" t="inlineStr">
        <is>
          <t>kg</t>
        </is>
      </c>
      <c r="C40" s="11">
        <f>Inputs!$B$17</f>
        <v/>
      </c>
      <c r="D40" s="11">
        <f>Inputs!$B$17</f>
        <v/>
      </c>
      <c r="E40" s="11">
        <f>Inputs!$B$17</f>
        <v/>
      </c>
      <c r="F40" s="11">
        <f>Inputs!$B$17</f>
        <v/>
      </c>
      <c r="G40" s="11">
        <f>Inputs!$B$17</f>
        <v/>
      </c>
    </row>
    <row r="41">
      <c r="A41" t="inlineStr">
        <is>
          <t>Water to treatment, then discharge (NPDES)</t>
        </is>
      </c>
      <c r="B41" t="inlineStr">
        <is>
          <t>kg</t>
        </is>
      </c>
      <c r="C41" s="11">
        <f>C23+C39+C40</f>
        <v/>
      </c>
      <c r="D41" s="11">
        <f>D23+D39+D40</f>
        <v/>
      </c>
      <c r="E41" s="11">
        <f>E23+E39+E40</f>
        <v/>
      </c>
      <c r="F41" s="11">
        <f>F23+F39+F40</f>
        <v/>
      </c>
      <c r="G41" s="11">
        <f>G23+G39+G40</f>
        <v/>
      </c>
    </row>
    <row r="43">
      <c r="A43" s="6" t="inlineStr">
        <is>
          <t>ELECTRICITY BALANCE</t>
        </is>
      </c>
      <c r="B43" s="7" t="n"/>
      <c r="C43" s="7" t="n"/>
      <c r="D43" s="7" t="n"/>
      <c r="E43" s="7" t="n"/>
      <c r="F43" s="7" t="n"/>
      <c r="G43" s="7" t="n"/>
    </row>
    <row r="44">
      <c r="A44" s="10" t="inlineStr">
        <is>
          <t>Demand</t>
        </is>
      </c>
    </row>
    <row r="45">
      <c r="A45" t="inlineStr">
        <is>
          <t>Excavation &amp; handling</t>
        </is>
      </c>
      <c r="B45" t="inlineStr">
        <is>
          <t>kWh</t>
        </is>
      </c>
      <c r="C45" s="11">
        <f>Inputs!$B$20*Inputs!$B$4/1000</f>
        <v/>
      </c>
      <c r="D45" s="11">
        <f>Inputs!$B$20*Inputs!$B$4/1000</f>
        <v/>
      </c>
      <c r="E45" s="11">
        <f>Inputs!$B$20*Inputs!$B$4/1000</f>
        <v/>
      </c>
      <c r="F45" s="11">
        <f>Inputs!$B$20*Inputs!$B$4/1000</f>
        <v/>
      </c>
      <c r="G45" s="11">
        <f>Inputs!$B$20*Inputs!$B$4/1000</f>
        <v/>
      </c>
    </row>
    <row r="46">
      <c r="A46" t="inlineStr">
        <is>
          <t>Pre-sort</t>
        </is>
      </c>
      <c r="B46" t="inlineStr">
        <is>
          <t>kWh</t>
        </is>
      </c>
      <c r="C46" s="11">
        <f>Inputs!$B$21*Inputs!$B$4/1000</f>
        <v/>
      </c>
      <c r="D46" s="11">
        <f>Inputs!$B$21*Inputs!$B$4/1000</f>
        <v/>
      </c>
      <c r="E46" s="11">
        <f>Inputs!$B$21*Inputs!$B$4/1000</f>
        <v/>
      </c>
      <c r="F46" s="11">
        <f>Inputs!$B$21*Inputs!$B$4/1000</f>
        <v/>
      </c>
      <c r="G46" s="11">
        <f>Inputs!$B$21*Inputs!$B$4/1000</f>
        <v/>
      </c>
    </row>
    <row r="47">
      <c r="A47" t="inlineStr">
        <is>
          <t>Plasma torches (gasification)</t>
        </is>
      </c>
      <c r="B47" t="inlineStr">
        <is>
          <t>kWh</t>
        </is>
      </c>
      <c r="C47" s="11">
        <f>Composition!$K$13*Inputs!$B$22</f>
        <v/>
      </c>
      <c r="D47" s="11">
        <f>Composition!$K$13*Inputs!$B$22</f>
        <v/>
      </c>
      <c r="E47" s="11">
        <f>Composition!$K$13*Inputs!$B$22</f>
        <v/>
      </c>
      <c r="F47" s="11">
        <f>Composition!$K$13*Inputs!$B$22</f>
        <v/>
      </c>
      <c r="G47" s="11">
        <f>Composition!$K$13*Inputs!$B$22</f>
        <v/>
      </c>
    </row>
    <row r="48">
      <c r="A48" t="inlineStr">
        <is>
          <t>Vitrification of slag</t>
        </is>
      </c>
      <c r="B48" t="inlineStr">
        <is>
          <t>kWh</t>
        </is>
      </c>
      <c r="C48" s="11">
        <f>C28*Inputs!$B$23</f>
        <v/>
      </c>
      <c r="D48" s="11">
        <f>D28*Inputs!$B$23</f>
        <v/>
      </c>
      <c r="E48" s="11">
        <f>E28*Inputs!$B$23</f>
        <v/>
      </c>
      <c r="F48" s="11">
        <f>F28*Inputs!$B$23</f>
        <v/>
      </c>
      <c r="G48" s="11">
        <f>G28*Inputs!$B$23</f>
        <v/>
      </c>
    </row>
    <row r="49">
      <c r="A49" t="inlineStr">
        <is>
          <t>Metal refining</t>
        </is>
      </c>
      <c r="B49" t="inlineStr">
        <is>
          <t>kWh</t>
        </is>
      </c>
      <c r="C49" s="11">
        <f>Elements!T31</f>
        <v/>
      </c>
      <c r="D49" s="11">
        <f>Elements!U31</f>
        <v/>
      </c>
      <c r="E49" s="11">
        <f>Elements!V31</f>
        <v/>
      </c>
      <c r="F49" s="11">
        <f>Elements!W31</f>
        <v/>
      </c>
      <c r="G49" s="11">
        <f>Elements!X31</f>
        <v/>
      </c>
    </row>
    <row r="50">
      <c r="A50" t="inlineStr">
        <is>
          <t>Hydrometallurgy + water treatment</t>
        </is>
      </c>
      <c r="B50" t="inlineStr">
        <is>
          <t>kWh</t>
        </is>
      </c>
      <c r="C50" s="11">
        <f>C9*Inputs!$B$4/1000</f>
        <v/>
      </c>
      <c r="D50" s="11">
        <f>D9*Inputs!$B$4/1000</f>
        <v/>
      </c>
      <c r="E50" s="11">
        <f>E9*Inputs!$B$4/1000</f>
        <v/>
      </c>
      <c r="F50" s="11">
        <f>F9*Inputs!$B$4/1000</f>
        <v/>
      </c>
      <c r="G50" s="11">
        <f>G9*Inputs!$B$4/1000</f>
        <v/>
      </c>
    </row>
    <row r="51">
      <c r="A51" t="inlineStr">
        <is>
          <t>PFAS / toxin destruction</t>
        </is>
      </c>
      <c r="B51" t="inlineStr">
        <is>
          <t>kWh</t>
        </is>
      </c>
      <c r="C51" s="11">
        <f>C10*Inputs!$B$4/1000</f>
        <v/>
      </c>
      <c r="D51" s="11">
        <f>D10*Inputs!$B$4/1000</f>
        <v/>
      </c>
      <c r="E51" s="11">
        <f>E10*Inputs!$B$4/1000</f>
        <v/>
      </c>
      <c r="F51" s="11">
        <f>F10*Inputs!$B$4/1000</f>
        <v/>
      </c>
      <c r="G51" s="11">
        <f>G10*Inputs!$B$4/1000</f>
        <v/>
      </c>
    </row>
    <row r="52">
      <c r="A52" t="inlineStr">
        <is>
          <t>Electrokinetic fines treatment</t>
        </is>
      </c>
      <c r="B52" t="inlineStr">
        <is>
          <t>kWh</t>
        </is>
      </c>
      <c r="C52" s="11">
        <f>C11*Inputs!$B$4/1000</f>
        <v/>
      </c>
      <c r="D52" s="11">
        <f>D11*Inputs!$B$4/1000</f>
        <v/>
      </c>
      <c r="E52" s="11">
        <f>E11*Inputs!$B$4/1000</f>
        <v/>
      </c>
      <c r="F52" s="11">
        <f>F11*Inputs!$B$4/1000</f>
        <v/>
      </c>
      <c r="G52" s="11">
        <f>G11*Inputs!$B$4/1000</f>
        <v/>
      </c>
    </row>
    <row r="53">
      <c r="A53" t="inlineStr">
        <is>
          <t>Off-gas cleaning</t>
        </is>
      </c>
      <c r="B53" t="inlineStr">
        <is>
          <t>kWh</t>
        </is>
      </c>
      <c r="C53" s="11">
        <f>Inputs!$B$24*Inputs!$B$4/1000</f>
        <v/>
      </c>
      <c r="D53" s="11">
        <f>Inputs!$B$24*Inputs!$B$4/1000</f>
        <v/>
      </c>
      <c r="E53" s="11">
        <f>Inputs!$B$24*Inputs!$B$4/1000</f>
        <v/>
      </c>
      <c r="F53" s="11">
        <f>Inputs!$B$24*Inputs!$B$4/1000</f>
        <v/>
      </c>
      <c r="G53" s="11">
        <f>Inputs!$B$24*Inputs!$B$4/1000</f>
        <v/>
      </c>
    </row>
    <row r="54">
      <c r="A54" s="13" t="inlineStr">
        <is>
          <t>TOTAL DEMAND</t>
        </is>
      </c>
      <c r="B54" s="14" t="inlineStr">
        <is>
          <t>kWh</t>
        </is>
      </c>
      <c r="C54" s="15">
        <f>SUM(C45:C53)</f>
        <v/>
      </c>
      <c r="D54" s="15">
        <f>SUM(D45:D53)</f>
        <v/>
      </c>
      <c r="E54" s="15">
        <f>SUM(E45:E53)</f>
        <v/>
      </c>
      <c r="F54" s="15">
        <f>SUM(F45:F53)</f>
        <v/>
      </c>
      <c r="G54" s="15">
        <f>SUM(G45:G53)</f>
        <v/>
      </c>
    </row>
    <row r="55">
      <c r="A55" s="10" t="inlineStr">
        <is>
          <t>Supply</t>
        </is>
      </c>
    </row>
    <row r="56">
      <c r="A56" s="13" t="inlineStr">
        <is>
          <t>Syngas -&gt; electricity (on-site)</t>
        </is>
      </c>
      <c r="B56" s="14" t="inlineStr">
        <is>
          <t>kWh</t>
        </is>
      </c>
      <c r="C56" s="15">
        <f>C37*Inputs!$B$10</f>
        <v/>
      </c>
      <c r="D56" s="15">
        <f>D37*Inputs!$B$10</f>
        <v/>
      </c>
      <c r="E56" s="15">
        <f>E37*Inputs!$B$10</f>
        <v/>
      </c>
      <c r="F56" s="15">
        <f>F37*Inputs!$B$10</f>
        <v/>
      </c>
      <c r="G56" s="15">
        <f>G37*Inputs!$B$10</f>
        <v/>
      </c>
    </row>
    <row r="57">
      <c r="A57" s="13" t="inlineStr">
        <is>
          <t>NET (supply - demand)</t>
        </is>
      </c>
      <c r="B57" s="14" t="inlineStr">
        <is>
          <t>kWh</t>
        </is>
      </c>
      <c r="C57" s="15">
        <f>C56-C54</f>
        <v/>
      </c>
      <c r="D57" s="15">
        <f>D56-D54</f>
        <v/>
      </c>
      <c r="E57" s="15">
        <f>E56-E54</f>
        <v/>
      </c>
      <c r="F57" s="15">
        <f>F56-F54</f>
        <v/>
      </c>
      <c r="G57" s="15">
        <f>G56-G54</f>
        <v/>
      </c>
    </row>
    <row r="58">
      <c r="A58" t="inlineStr">
        <is>
          <t>Energy self-sufficiency</t>
        </is>
      </c>
      <c r="B58" t="inlineStr">
        <is>
          <t>%</t>
        </is>
      </c>
      <c r="C58" s="8">
        <f>MIN(1,C56/C54)</f>
        <v/>
      </c>
      <c r="D58" s="8">
        <f>MIN(1,D56/D54)</f>
        <v/>
      </c>
      <c r="E58" s="8">
        <f>MIN(1,E56/E54)</f>
        <v/>
      </c>
      <c r="F58" s="8">
        <f>MIN(1,F56/F54)</f>
        <v/>
      </c>
      <c r="G58" s="8">
        <f>MIN(1,G56/G54)</f>
        <v/>
      </c>
    </row>
    <row r="59">
      <c r="A59" t="inlineStr">
        <is>
          <t>External electricity needed</t>
        </is>
      </c>
      <c r="B59" t="inlineStr">
        <is>
          <t>kWh</t>
        </is>
      </c>
      <c r="C59" s="11">
        <f>MAX(0,-C57)</f>
        <v/>
      </c>
      <c r="D59" s="11">
        <f>MAX(0,-D57)</f>
        <v/>
      </c>
      <c r="E59" s="11">
        <f>MAX(0,-E57)</f>
        <v/>
      </c>
      <c r="F59" s="11">
        <f>MAX(0,-F57)</f>
        <v/>
      </c>
      <c r="G59" s="11">
        <f>MAX(0,-G57)</f>
        <v/>
      </c>
    </row>
    <row r="60">
      <c r="A60" t="inlineStr">
        <is>
          <t xml:space="preserve">   of which renewable</t>
        </is>
      </c>
      <c r="B60" t="inlineStr">
        <is>
          <t>kWh</t>
        </is>
      </c>
      <c r="C60" s="11">
        <f>C59*C12</f>
        <v/>
      </c>
      <c r="D60" s="11">
        <f>D59*D12</f>
        <v/>
      </c>
      <c r="E60" s="11">
        <f>E59*E12</f>
        <v/>
      </c>
      <c r="F60" s="11">
        <f>F59*F12</f>
        <v/>
      </c>
      <c r="G60" s="11">
        <f>G59*G12</f>
        <v/>
      </c>
    </row>
    <row r="61">
      <c r="A61" t="inlineStr">
        <is>
          <t>Surplus exported to grid</t>
        </is>
      </c>
      <c r="B61" t="inlineStr">
        <is>
          <t>kWh</t>
        </is>
      </c>
      <c r="C61" s="11">
        <f>MAX(0,C57)</f>
        <v/>
      </c>
      <c r="D61" s="11">
        <f>MAX(0,D57)</f>
        <v/>
      </c>
      <c r="E61" s="11">
        <f>MAX(0,E57)</f>
        <v/>
      </c>
      <c r="F61" s="11">
        <f>MAX(0,F57)</f>
        <v/>
      </c>
      <c r="G61" s="11">
        <f>MAX(0,G57)</f>
        <v/>
      </c>
    </row>
    <row r="63">
      <c r="A63" s="6" t="inlineStr">
        <is>
          <t>HEAT BALANCE</t>
        </is>
      </c>
      <c r="B63" s="7" t="n"/>
      <c r="C63" s="7" t="n"/>
      <c r="D63" s="7" t="n"/>
      <c r="E63" s="7" t="n"/>
      <c r="F63" s="7" t="n"/>
      <c r="G63" s="7" t="n"/>
    </row>
    <row r="64">
      <c r="A64" t="inlineStr">
        <is>
          <t>Drying demand (evaporate moisture)</t>
        </is>
      </c>
      <c r="B64" t="inlineStr">
        <is>
          <t>kWh_th</t>
        </is>
      </c>
      <c r="C64" s="11">
        <f>C17*Inputs!$B$14/3.6/Inputs!$B$15</f>
        <v/>
      </c>
      <c r="D64" s="11">
        <f>D17*Inputs!$B$14/3.6/Inputs!$B$15</f>
        <v/>
      </c>
      <c r="E64" s="11">
        <f>E17*Inputs!$B$14/3.6/Inputs!$B$15</f>
        <v/>
      </c>
      <c r="F64" s="11">
        <f>F17*Inputs!$B$14/3.6/Inputs!$B$15</f>
        <v/>
      </c>
      <c r="G64" s="11">
        <f>G17*Inputs!$B$14/3.6/Inputs!$B$15</f>
        <v/>
      </c>
    </row>
    <row r="65">
      <c r="A65" t="inlineStr">
        <is>
          <t>Recoverable waste heat</t>
        </is>
      </c>
      <c r="B65" t="inlineStr">
        <is>
          <t>kWh_th</t>
        </is>
      </c>
      <c r="C65" s="11">
        <f>C37*(1-Inputs!$B$10)*Inputs!$B$13</f>
        <v/>
      </c>
      <c r="D65" s="11">
        <f>D37*(1-Inputs!$B$10)*Inputs!$B$13</f>
        <v/>
      </c>
      <c r="E65" s="11">
        <f>E37*(1-Inputs!$B$10)*Inputs!$B$13</f>
        <v/>
      </c>
      <c r="F65" s="11">
        <f>F37*(1-Inputs!$B$10)*Inputs!$B$13</f>
        <v/>
      </c>
      <c r="G65" s="11">
        <f>G37*(1-Inputs!$B$10)*Inputs!$B$13</f>
        <v/>
      </c>
    </row>
    <row r="66">
      <c r="A66" s="13" t="inlineStr">
        <is>
          <t>Heat surplus (+) / deficit (-)</t>
        </is>
      </c>
      <c r="B66" s="14" t="inlineStr">
        <is>
          <t>kWh_th</t>
        </is>
      </c>
      <c r="C66" s="15">
        <f>C65-C64</f>
        <v/>
      </c>
      <c r="D66" s="15">
        <f>D65-D64</f>
        <v/>
      </c>
      <c r="E66" s="15">
        <f>E65-E64</f>
        <v/>
      </c>
      <c r="F66" s="15">
        <f>F65-F64</f>
        <v/>
      </c>
      <c r="G66" s="15">
        <f>G65-G64</f>
        <v/>
      </c>
    </row>
    <row r="68">
      <c r="A68" s="6" t="inlineStr">
        <is>
          <t>ECONOMICS</t>
        </is>
      </c>
      <c r="B68" s="7" t="n"/>
      <c r="C68" s="7" t="n"/>
      <c r="D68" s="7" t="n"/>
      <c r="E68" s="7" t="n"/>
      <c r="F68" s="7" t="n"/>
      <c r="G68" s="7" t="n"/>
    </row>
    <row r="69">
      <c r="A69" t="inlineStr">
        <is>
          <t>Product revenue</t>
        </is>
      </c>
      <c r="B69" t="inlineStr">
        <is>
          <t>$</t>
        </is>
      </c>
      <c r="C69" s="12">
        <f>Elements!T28</f>
        <v/>
      </c>
      <c r="D69" s="12">
        <f>Elements!U28</f>
        <v/>
      </c>
      <c r="E69" s="12">
        <f>Elements!V28</f>
        <v/>
      </c>
      <c r="F69" s="12">
        <f>Elements!W28</f>
        <v/>
      </c>
      <c r="G69" s="12">
        <f>Elements!X28</f>
        <v/>
      </c>
    </row>
    <row r="70">
      <c r="A70" t="inlineStr">
        <is>
          <t>Soil / aggregate / slag sales</t>
        </is>
      </c>
      <c r="B70" t="inlineStr">
        <is>
          <t>$</t>
        </is>
      </c>
      <c r="C70" s="12">
        <f>(C25+C26+C28)*Inputs!$B$31</f>
        <v/>
      </c>
      <c r="D70" s="12">
        <f>(D25+D26+D28)*Inputs!$B$31</f>
        <v/>
      </c>
      <c r="E70" s="12">
        <f>(E25+E26+E28)*Inputs!$B$31</f>
        <v/>
      </c>
      <c r="F70" s="12">
        <f>(F25+F26+F28)*Inputs!$B$31</f>
        <v/>
      </c>
      <c r="G70" s="12">
        <f>(G25+G26+G28)*Inputs!$B$31</f>
        <v/>
      </c>
    </row>
    <row r="71">
      <c r="A71" t="inlineStr">
        <is>
          <t>Tipping fee</t>
        </is>
      </c>
      <c r="B71" t="inlineStr">
        <is>
          <t>$</t>
        </is>
      </c>
      <c r="C71" s="12">
        <f>Inputs!$B$27*Inputs!$B$4/1000</f>
        <v/>
      </c>
      <c r="D71" s="12">
        <f>Inputs!$B$27*Inputs!$B$4/1000</f>
        <v/>
      </c>
      <c r="E71" s="12">
        <f>Inputs!$B$27*Inputs!$B$4/1000</f>
        <v/>
      </c>
      <c r="F71" s="12">
        <f>Inputs!$B$27*Inputs!$B$4/1000</f>
        <v/>
      </c>
      <c r="G71" s="12">
        <f>Inputs!$B$27*Inputs!$B$4/1000</f>
        <v/>
      </c>
    </row>
    <row r="72">
      <c r="A72" t="inlineStr">
        <is>
          <t>Electricity export</t>
        </is>
      </c>
      <c r="B72" t="inlineStr">
        <is>
          <t>$</t>
        </is>
      </c>
      <c r="C72" s="12">
        <f>C61*Inputs!$B$30</f>
        <v/>
      </c>
      <c r="D72" s="12">
        <f>D61*Inputs!$B$30</f>
        <v/>
      </c>
      <c r="E72" s="12">
        <f>E61*Inputs!$B$30</f>
        <v/>
      </c>
      <c r="F72" s="12">
        <f>F61*Inputs!$B$30</f>
        <v/>
      </c>
      <c r="G72" s="12">
        <f>G61*Inputs!$B$30</f>
        <v/>
      </c>
    </row>
    <row r="73">
      <c r="A73" s="13" t="inlineStr">
        <is>
          <t>TOTAL INCOME</t>
        </is>
      </c>
      <c r="B73" s="14" t="inlineStr">
        <is>
          <t>$</t>
        </is>
      </c>
      <c r="C73" s="19">
        <f>SUM(C69:C72)</f>
        <v/>
      </c>
      <c r="D73" s="19">
        <f>SUM(D69:D72)</f>
        <v/>
      </c>
      <c r="E73" s="19">
        <f>SUM(E69:E72)</f>
        <v/>
      </c>
      <c r="F73" s="19">
        <f>SUM(F69:F72)</f>
        <v/>
      </c>
      <c r="G73" s="19">
        <f>SUM(G69:G72)</f>
        <v/>
      </c>
    </row>
    <row r="74">
      <c r="A74" t="inlineStr">
        <is>
          <t>Recovery cost (Sherwood)</t>
        </is>
      </c>
      <c r="B74" t="inlineStr">
        <is>
          <t>$</t>
        </is>
      </c>
      <c r="C74" s="12">
        <f>Elements!T29</f>
        <v/>
      </c>
      <c r="D74" s="12">
        <f>Elements!U29</f>
        <v/>
      </c>
      <c r="E74" s="12">
        <f>Elements!V29</f>
        <v/>
      </c>
      <c r="F74" s="12">
        <f>Elements!W29</f>
        <v/>
      </c>
      <c r="G74" s="12">
        <f>Elements!X29</f>
        <v/>
      </c>
    </row>
    <row r="75">
      <c r="A75" t="inlineStr">
        <is>
          <t>Base processing cost</t>
        </is>
      </c>
      <c r="B75" t="inlineStr">
        <is>
          <t>$</t>
        </is>
      </c>
      <c r="C75" s="12">
        <f>Inputs!$B$28*Inputs!$B$4/1000</f>
        <v/>
      </c>
      <c r="D75" s="12">
        <f>Inputs!$B$28*Inputs!$B$4/1000</f>
        <v/>
      </c>
      <c r="E75" s="12">
        <f>Inputs!$B$28*Inputs!$B$4/1000</f>
        <v/>
      </c>
      <c r="F75" s="12">
        <f>Inputs!$B$28*Inputs!$B$4/1000</f>
        <v/>
      </c>
      <c r="G75" s="12">
        <f>Inputs!$B$28*Inputs!$B$4/1000</f>
        <v/>
      </c>
    </row>
    <row r="76">
      <c r="A76" t="inlineStr">
        <is>
          <t>Electricity purchase</t>
        </is>
      </c>
      <c r="B76" t="inlineStr">
        <is>
          <t>$</t>
        </is>
      </c>
      <c r="C76" s="12">
        <f>C59*Inputs!$B$29</f>
        <v/>
      </c>
      <c r="D76" s="12">
        <f>D59*Inputs!$B$29</f>
        <v/>
      </c>
      <c r="E76" s="12">
        <f>E59*Inputs!$B$29</f>
        <v/>
      </c>
      <c r="F76" s="12">
        <f>F59*Inputs!$B$29</f>
        <v/>
      </c>
      <c r="G76" s="12">
        <f>G59*Inputs!$B$29</f>
        <v/>
      </c>
    </row>
    <row r="77">
      <c r="A77" s="13" t="inlineStr">
        <is>
          <t>TOTAL COST</t>
        </is>
      </c>
      <c r="B77" s="14" t="inlineStr">
        <is>
          <t>$</t>
        </is>
      </c>
      <c r="C77" s="19">
        <f>SUM(C74:C76)</f>
        <v/>
      </c>
      <c r="D77" s="19">
        <f>SUM(D74:D76)</f>
        <v/>
      </c>
      <c r="E77" s="19">
        <f>SUM(E74:E76)</f>
        <v/>
      </c>
      <c r="F77" s="19">
        <f>SUM(F74:F76)</f>
        <v/>
      </c>
      <c r="G77" s="19">
        <f>SUM(G74:G76)</f>
        <v/>
      </c>
    </row>
    <row r="78">
      <c r="A78" s="13" t="inlineStr">
        <is>
          <t>NET MARGIN</t>
        </is>
      </c>
      <c r="B78" s="14" t="inlineStr">
        <is>
          <t>$</t>
        </is>
      </c>
      <c r="C78" s="19">
        <f>C73-C77</f>
        <v/>
      </c>
      <c r="D78" s="19">
        <f>D73-D77</f>
        <v/>
      </c>
      <c r="E78" s="19">
        <f>E73-E77</f>
        <v/>
      </c>
      <c r="F78" s="19">
        <f>F73-F77</f>
        <v/>
      </c>
      <c r="G78" s="19">
        <f>G73-G77</f>
        <v/>
      </c>
    </row>
    <row r="79">
      <c r="A79" t="inlineStr">
        <is>
          <t>Environmental harm avoided (monetized)</t>
        </is>
      </c>
      <c r="B79" t="inlineStr">
        <is>
          <t>$</t>
        </is>
      </c>
      <c r="C79" s="12">
        <f>Elements!T30</f>
        <v/>
      </c>
      <c r="D79" s="12">
        <f>Elements!U30</f>
        <v/>
      </c>
      <c r="E79" s="12">
        <f>Elements!V30</f>
        <v/>
      </c>
      <c r="F79" s="12">
        <f>Elements!W30</f>
        <v/>
      </c>
      <c r="G79" s="12">
        <f>Elements!X30</f>
        <v/>
      </c>
    </row>
    <row r="80">
      <c r="A80" s="13" t="inlineStr">
        <is>
          <t>Societal value (margin + harm avoided)</t>
        </is>
      </c>
      <c r="B80" s="14" t="inlineStr">
        <is>
          <t>$</t>
        </is>
      </c>
      <c r="C80" s="19">
        <f>C78+C79</f>
        <v/>
      </c>
      <c r="D80" s="19">
        <f>D78+D79</f>
        <v/>
      </c>
      <c r="E80" s="19">
        <f>E78+E79</f>
        <v/>
      </c>
      <c r="F80" s="19">
        <f>F78+F79</f>
        <v/>
      </c>
      <c r="G80" s="19">
        <f>G78+G79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Slider scenarios (x-axis = slider position, 0 = Commercial, 1 = Nature)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8" customWidth="1" min="3" max="3"/>
    <col width="20" customWidth="1" min="4" max="4"/>
    <col width="40" customWidth="1" min="5" max="5"/>
  </cols>
  <sheetData>
    <row r="1">
      <c r="A1" s="1" t="inlineStr">
        <is>
          <t>Inputs &amp; assumptions</t>
        </is>
      </c>
    </row>
    <row r="2">
      <c r="A2" s="3" t="inlineStr">
        <is>
          <t>Parameter</t>
        </is>
      </c>
      <c r="B2" s="3" t="inlineStr">
        <is>
          <t>Value</t>
        </is>
      </c>
      <c r="C2" s="3" t="inlineStr">
        <is>
          <t>Unit</t>
        </is>
      </c>
      <c r="D2" s="3" t="inlineStr">
        <is>
          <t>Note / source</t>
        </is>
      </c>
    </row>
    <row r="3">
      <c r="A3" s="2" t="inlineStr">
        <is>
          <t>GENERAL</t>
        </is>
      </c>
    </row>
    <row r="4">
      <c r="A4" t="inlineStr">
        <is>
          <t>Feed basis (wet)</t>
        </is>
      </c>
      <c r="B4" s="20" t="n">
        <v>1000</v>
      </c>
      <c r="C4" t="inlineStr">
        <is>
          <t>kg</t>
        </is>
      </c>
      <c r="D4" t="inlineStr">
        <is>
          <t>1 wet tonne</t>
        </is>
      </c>
    </row>
    <row r="5">
      <c r="A5" t="inlineStr">
        <is>
          <t>Moisture fraction of feed</t>
        </is>
      </c>
      <c r="B5" s="20" t="n">
        <v>0.25</v>
      </c>
      <c r="C5" t="inlineStr">
        <is>
          <t>fraction</t>
        </is>
      </c>
      <c r="D5" t="inlineStr">
        <is>
          <t>Old landfill material, typical 15-35%</t>
        </is>
      </c>
    </row>
    <row r="6">
      <c r="A6" t="inlineStr">
        <is>
          <t>Oxidant (O2/steam) per kg organic</t>
        </is>
      </c>
      <c r="B6" s="20" t="n">
        <v>0.4</v>
      </c>
      <c r="C6" t="inlineStr">
        <is>
          <t>kg/kg</t>
        </is>
      </c>
      <c r="D6" t="inlineStr">
        <is>
          <t>Lumped into syngas mass</t>
        </is>
      </c>
    </row>
    <row r="7">
      <c r="A7" t="inlineStr">
        <is>
          <t>Sherwood constant K</t>
        </is>
      </c>
      <c r="B7" s="20" t="n">
        <v>0.01</v>
      </c>
      <c r="C7" t="inlineStr">
        <is>
          <t>$/kg at c = 1</t>
        </is>
      </c>
      <c r="D7" t="inlineStr">
        <is>
          <t>Calibrate to known recovery costs</t>
        </is>
      </c>
    </row>
    <row r="8">
      <c r="A8" t="inlineStr">
        <is>
          <t>Sherwood exponent b</t>
        </is>
      </c>
      <c r="B8" s="20" t="n">
        <v>0.9</v>
      </c>
      <c r="C8" t="inlineStr">
        <is>
          <t>-</t>
        </is>
      </c>
      <c r="D8" t="inlineStr">
        <is>
          <t>Literature ~0.8-1.0</t>
        </is>
      </c>
    </row>
    <row r="9">
      <c r="A9" t="inlineStr">
        <is>
          <t>Cold gas efficiency (gasifier)</t>
        </is>
      </c>
      <c r="B9" s="20" t="n">
        <v>0.7</v>
      </c>
      <c r="C9" t="inlineStr">
        <is>
          <t>fraction</t>
        </is>
      </c>
      <c r="D9" t="inlineStr">
        <is>
          <t>Chemical energy in syngas / in feed</t>
        </is>
      </c>
    </row>
    <row r="10">
      <c r="A10" t="inlineStr">
        <is>
          <t>Syngas -&gt; electricity efficiency</t>
        </is>
      </c>
      <c r="B10" s="20" t="n">
        <v>0.4</v>
      </c>
      <c r="C10" t="inlineStr">
        <is>
          <t>fraction</t>
        </is>
      </c>
      <c r="D10" t="inlineStr">
        <is>
          <t>Gas engine ~35%, fuel cell ~50%</t>
        </is>
      </c>
    </row>
    <row r="11">
      <c r="A11" t="inlineStr">
        <is>
          <t>H2 share of syngas energy</t>
        </is>
      </c>
      <c r="B11" s="20" t="n">
        <v>0.45</v>
      </c>
      <c r="C11" t="inlineStr">
        <is>
          <t>fraction</t>
        </is>
      </c>
      <c r="D11" t="inlineStr">
        <is>
          <t>Depends on steam, water-gas shift</t>
        </is>
      </c>
    </row>
    <row r="12">
      <c r="A12" t="inlineStr">
        <is>
          <t>H2 lower heating value</t>
        </is>
      </c>
      <c r="B12" s="20" t="n">
        <v>33.3</v>
      </c>
      <c r="C12" t="inlineStr">
        <is>
          <t>kWh/kg</t>
        </is>
      </c>
      <c r="D12" t="inlineStr">
        <is>
          <t>Physical constant</t>
        </is>
      </c>
    </row>
    <row r="13">
      <c r="A13" t="inlineStr">
        <is>
          <t>Waste-heat recovery fraction</t>
        </is>
      </c>
      <c r="B13" s="20" t="n">
        <v>0.5</v>
      </c>
      <c r="C13" t="inlineStr">
        <is>
          <t>fraction</t>
        </is>
      </c>
      <c r="D13" t="inlineStr">
        <is>
          <t>Of non-electric syngas energy</t>
        </is>
      </c>
    </row>
    <row r="14">
      <c r="A14" t="inlineStr">
        <is>
          <t>Latent heat of water</t>
        </is>
      </c>
      <c r="B14" s="20" t="n">
        <v>2.26</v>
      </c>
      <c r="C14" t="inlineStr">
        <is>
          <t>MJ/kg</t>
        </is>
      </c>
      <c r="D14" t="inlineStr">
        <is>
          <t>Physical constant</t>
        </is>
      </c>
    </row>
    <row r="15">
      <c r="A15" t="inlineStr">
        <is>
          <t>Dryer efficiency</t>
        </is>
      </c>
      <c r="B15" s="20" t="n">
        <v>0.8</v>
      </c>
      <c r="C15" t="inlineStr">
        <is>
          <t>fraction</t>
        </is>
      </c>
      <c r="D15" t="inlineStr"/>
    </row>
    <row r="16">
      <c r="A16" t="inlineStr">
        <is>
          <t>Aggregate recovery from glass/stone</t>
        </is>
      </c>
      <c r="B16" s="20" t="n">
        <v>0.9</v>
      </c>
      <c r="C16" t="inlineStr">
        <is>
          <t>fraction</t>
        </is>
      </c>
      <c r="D16" t="inlineStr">
        <is>
          <t>Rest to slag</t>
        </is>
      </c>
    </row>
    <row r="17">
      <c r="A17" t="inlineStr">
        <is>
          <t>Process water make-up</t>
        </is>
      </c>
      <c r="B17" s="20" t="n">
        <v>500</v>
      </c>
      <c r="C17" t="inlineStr">
        <is>
          <t>kg/t</t>
        </is>
      </c>
      <c r="D17" t="inlineStr">
        <is>
          <t>Washing, leaching, scrubbing</t>
        </is>
      </c>
    </row>
    <row r="19">
      <c r="A19" s="2" t="inlineStr">
        <is>
          <t>FIXED ENERGY INTENSITIES</t>
        </is>
      </c>
    </row>
    <row r="20">
      <c r="A20" t="inlineStr">
        <is>
          <t>Excavation &amp; handling</t>
        </is>
      </c>
      <c r="B20" s="20" t="n">
        <v>15</v>
      </c>
      <c r="C20" t="inlineStr">
        <is>
          <t>kWh/t wet</t>
        </is>
      </c>
      <c r="D20" t="inlineStr">
        <is>
          <t>Diesel equivalent</t>
        </is>
      </c>
    </row>
    <row r="21">
      <c r="A21" t="inlineStr">
        <is>
          <t>Pre-sort (shred, screen, sensors, magnets)</t>
        </is>
      </c>
      <c r="B21" s="20" t="n">
        <v>30</v>
      </c>
      <c r="C21" t="inlineStr">
        <is>
          <t>kWh/t wet</t>
        </is>
      </c>
      <c r="D21" t="inlineStr"/>
    </row>
    <row r="22">
      <c r="A22" t="inlineStr">
        <is>
          <t>Plasma torch electricity</t>
        </is>
      </c>
      <c r="B22" s="20" t="n">
        <v>0.4</v>
      </c>
      <c r="C22" t="inlineStr">
        <is>
          <t>kWh/kg combustible</t>
        </is>
      </c>
      <c r="D22" t="inlineStr">
        <is>
          <t>Highly vendor-dependent</t>
        </is>
      </c>
    </row>
    <row r="23">
      <c r="A23" t="inlineStr">
        <is>
          <t>Vitrification (melting slag)</t>
        </is>
      </c>
      <c r="B23" s="20" t="n">
        <v>0.6</v>
      </c>
      <c r="C23" t="inlineStr">
        <is>
          <t>kWh/kg slag</t>
        </is>
      </c>
      <c r="D23" t="inlineStr">
        <is>
          <t>Glass melting ~0.4-0.8</t>
        </is>
      </c>
    </row>
    <row r="24">
      <c r="A24" t="inlineStr">
        <is>
          <t>Off-gas cleaning</t>
        </is>
      </c>
      <c r="B24" s="20" t="n">
        <v>20</v>
      </c>
      <c r="C24" t="inlineStr">
        <is>
          <t>kWh/t wet</t>
        </is>
      </c>
      <c r="D24" t="inlineStr">
        <is>
          <t>Fans, scrubbers, carbon beds</t>
        </is>
      </c>
    </row>
    <row r="26">
      <c r="A26" s="2" t="inlineStr">
        <is>
          <t>ECONOMICS</t>
        </is>
      </c>
    </row>
    <row r="27">
      <c r="A27" t="inlineStr">
        <is>
          <t>Tipping fee received</t>
        </is>
      </c>
      <c r="B27" s="20" t="n">
        <v>60</v>
      </c>
      <c r="C27" t="inlineStr">
        <is>
          <t>$/t wet</t>
        </is>
      </c>
      <c r="D27" t="inlineStr">
        <is>
          <t>Paid by city/county</t>
        </is>
      </c>
    </row>
    <row r="28">
      <c r="A28" t="inlineStr">
        <is>
          <t>Base processing cost (labor, capex, O&amp;M)</t>
        </is>
      </c>
      <c r="B28" s="20" t="n">
        <v>90</v>
      </c>
      <c r="C28" t="inlineStr">
        <is>
          <t>$/t wet</t>
        </is>
      </c>
      <c r="D28" t="inlineStr"/>
    </row>
    <row r="29">
      <c r="A29" t="inlineStr">
        <is>
          <t>Electricity purchase price</t>
        </is>
      </c>
      <c r="B29" s="20" t="n">
        <v>0.1</v>
      </c>
      <c r="C29" t="inlineStr">
        <is>
          <t>$/kWh</t>
        </is>
      </c>
      <c r="D29" t="inlineStr"/>
    </row>
    <row r="30">
      <c r="A30" t="inlineStr">
        <is>
          <t>Electricity export price</t>
        </is>
      </c>
      <c r="B30" s="20" t="n">
        <v>0.05</v>
      </c>
      <c r="C30" t="inlineStr">
        <is>
          <t>$/kWh</t>
        </is>
      </c>
      <c r="D30" t="inlineStr"/>
    </row>
    <row r="31">
      <c r="A31" t="inlineStr">
        <is>
          <t>Soil / aggregate / slag sale price</t>
        </is>
      </c>
      <c r="B31" s="20" t="n">
        <v>0.005</v>
      </c>
      <c r="C31" t="inlineStr">
        <is>
          <t>$/kg</t>
        </is>
      </c>
      <c r="D31" t="inlineStr">
        <is>
          <t>$5 per tonne</t>
        </is>
      </c>
    </row>
    <row r="33">
      <c r="A33" s="3" t="inlineStr">
        <is>
          <t>SLIDER-DEPENDENT PARAMETERS</t>
        </is>
      </c>
      <c r="B33" s="3" t="inlineStr">
        <is>
          <t>Commercial (s=0)</t>
        </is>
      </c>
      <c r="C33" s="3" t="inlineStr">
        <is>
          <t>Nature (s=1)</t>
        </is>
      </c>
      <c r="D33" s="3" t="inlineStr">
        <is>
          <t>Unit</t>
        </is>
      </c>
      <c r="E33" s="3" t="inlineStr">
        <is>
          <t>Note</t>
        </is>
      </c>
    </row>
    <row r="34">
      <c r="A34" t="inlineStr">
        <is>
          <t>Fines vitrified (rest reused as cover soil)</t>
        </is>
      </c>
      <c r="B34" s="20" t="n">
        <v>0.1</v>
      </c>
      <c r="C34" s="20" t="n">
        <v>0.8</v>
      </c>
      <c r="D34" t="inlineStr">
        <is>
          <t>fraction</t>
        </is>
      </c>
      <c r="E34" t="inlineStr">
        <is>
          <t>Nature: treat contaminated fines</t>
        </is>
      </c>
    </row>
    <row r="35">
      <c r="A35" t="inlineStr">
        <is>
          <t>Hydrometallurgy + water treatment</t>
        </is>
      </c>
      <c r="B35" s="20" t="n">
        <v>30</v>
      </c>
      <c r="C35" s="20" t="n">
        <v>80</v>
      </c>
      <c r="D35" t="inlineStr">
        <is>
          <t>kWh/t wet</t>
        </is>
      </c>
      <c r="E35" t="inlineStr"/>
    </row>
    <row r="36">
      <c r="A36" t="inlineStr">
        <is>
          <t>PFAS / organic toxin destruction</t>
        </is>
      </c>
      <c r="B36" s="20" t="n">
        <v>0</v>
      </c>
      <c r="C36" s="20" t="n">
        <v>40</v>
      </c>
      <c r="D36" t="inlineStr">
        <is>
          <t>kWh/t wet</t>
        </is>
      </c>
      <c r="E36" t="inlineStr">
        <is>
          <t>Cold plasma or supercritical water</t>
        </is>
      </c>
    </row>
    <row r="37">
      <c r="A37" t="inlineStr">
        <is>
          <t>Electrokinetic treatment of fines</t>
        </is>
      </c>
      <c r="B37" s="20" t="n">
        <v>0</v>
      </c>
      <c r="C37" s="20" t="n">
        <v>30</v>
      </c>
      <c r="D37" t="inlineStr">
        <is>
          <t>kWh/t wet</t>
        </is>
      </c>
      <c r="E37" t="inlineStr"/>
    </row>
    <row r="38">
      <c r="A38" t="inlineStr">
        <is>
          <t>Renewable share of purchased electricity</t>
        </is>
      </c>
      <c r="B38" s="20" t="n">
        <v>0.3</v>
      </c>
      <c r="C38" s="20" t="n">
        <v>1</v>
      </c>
      <c r="D38" t="inlineStr">
        <is>
          <t>fraction</t>
        </is>
      </c>
      <c r="E38" t="inlineStr">
        <is>
          <t>Nature end = 100% renewable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4" customWidth="1" min="4" max="4"/>
    <col width="12" customWidth="1" min="5" max="5"/>
    <col width="14" customWidth="1" min="6" max="6"/>
    <col width="38" customWidth="1" min="7" max="7"/>
    <col width="30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Feedstock composition (dry basis)</t>
        </is>
      </c>
    </row>
    <row r="3">
      <c r="A3" s="3" t="inlineStr">
        <is>
          <t>Component</t>
        </is>
      </c>
      <c r="B3" s="3" t="inlineStr">
        <is>
          <t>Dry fraction</t>
        </is>
      </c>
      <c r="C3" s="3" t="inlineStr">
        <is>
          <t>Dry mass (kg/t)</t>
        </is>
      </c>
      <c r="D3" s="3" t="inlineStr">
        <is>
          <t>LHV (MJ/kg dry)</t>
        </is>
      </c>
      <c r="E3" s="3" t="inlineStr">
        <is>
          <t>Ash fraction</t>
        </is>
      </c>
      <c r="F3" s="3" t="inlineStr">
        <is>
          <t>Combustible (1/0)</t>
        </is>
      </c>
      <c r="G3" s="3" t="inlineStr">
        <is>
          <t>Route</t>
        </is>
      </c>
      <c r="H3" s="3" t="inlineStr">
        <is>
          <t>Note</t>
        </is>
      </c>
      <c r="I3" s="3" t="inlineStr">
        <is>
          <t>Organic to syngas (kg)</t>
        </is>
      </c>
      <c r="J3" s="3" t="inlineStr">
        <is>
          <t>Chemical energy (kWh)</t>
        </is>
      </c>
      <c r="K3" s="3" t="inlineStr">
        <is>
          <t>Combustible mass (kg)</t>
        </is>
      </c>
    </row>
    <row r="4">
      <c r="A4" t="inlineStr">
        <is>
          <t>Fines / soil</t>
        </is>
      </c>
      <c r="B4" s="21" t="n">
        <v>0.5</v>
      </c>
      <c r="C4" s="22">
        <f>B4*Inputs!$B$4*(1-Inputs!$B$5)</f>
        <v/>
      </c>
      <c r="D4" s="20" t="n">
        <v>0</v>
      </c>
      <c r="E4" s="20" t="n">
        <v>0</v>
      </c>
      <c r="F4" s="20" t="n">
        <v>0</v>
      </c>
      <c r="G4" t="inlineStr">
        <is>
          <t>Screen -&gt; reuse as cover soil or vitrify</t>
        </is>
      </c>
      <c r="H4" t="inlineStr">
        <is>
          <t>ELFM studies: 40-60%</t>
        </is>
      </c>
      <c r="I4" s="22">
        <f>C4*F4*(1-E4)</f>
        <v/>
      </c>
      <c r="J4" s="9">
        <f>C4*F4*D4/3.6</f>
        <v/>
      </c>
      <c r="K4" s="22">
        <f>C4*F4</f>
        <v/>
      </c>
    </row>
    <row r="5">
      <c r="A5" t="inlineStr">
        <is>
          <t>Plastics</t>
        </is>
      </c>
      <c r="B5" s="21" t="n">
        <v>0.18</v>
      </c>
      <c r="C5" s="22">
        <f>B5*Inputs!$B$4*(1-Inputs!$B$5)</f>
        <v/>
      </c>
      <c r="D5" s="20" t="n">
        <v>35</v>
      </c>
      <c r="E5" s="20" t="n">
        <v>0.05</v>
      </c>
      <c r="F5" s="20" t="n">
        <v>1</v>
      </c>
      <c r="G5" t="inlineStr">
        <is>
          <t>Plasma gasification -&gt; syngas</t>
        </is>
      </c>
      <c r="H5" t="inlineStr"/>
      <c r="I5" s="22">
        <f>C5*F5*(1-E5)</f>
        <v/>
      </c>
      <c r="J5" s="9">
        <f>C5*F5*D5/3.6</f>
        <v/>
      </c>
      <c r="K5" s="22">
        <f>C5*F5</f>
        <v/>
      </c>
    </row>
    <row r="6">
      <c r="A6" t="inlineStr">
        <is>
          <t>Paper / wood / textiles</t>
        </is>
      </c>
      <c r="B6" s="21" t="n">
        <v>0.12</v>
      </c>
      <c r="C6" s="22">
        <f>B6*Inputs!$B$4*(1-Inputs!$B$5)</f>
        <v/>
      </c>
      <c r="D6" s="20" t="n">
        <v>15</v>
      </c>
      <c r="E6" s="20" t="n">
        <v>0.1</v>
      </c>
      <c r="F6" s="20" t="n">
        <v>1</v>
      </c>
      <c r="G6" t="inlineStr">
        <is>
          <t>Plasma gasification -&gt; syngas</t>
        </is>
      </c>
      <c r="H6" t="inlineStr">
        <is>
          <t>Mostly degraded in old cells</t>
        </is>
      </c>
      <c r="I6" s="22">
        <f>C6*F6*(1-E6)</f>
        <v/>
      </c>
      <c r="J6" s="9">
        <f>C6*F6*D6/3.6</f>
        <v/>
      </c>
      <c r="K6" s="22">
        <f>C6*F6</f>
        <v/>
      </c>
    </row>
    <row r="7">
      <c r="A7" t="inlineStr">
        <is>
          <t>Glass / stone / ceramics</t>
        </is>
      </c>
      <c r="B7" s="21" t="n">
        <v>0.12</v>
      </c>
      <c r="C7" s="22">
        <f>B7*Inputs!$B$4*(1-Inputs!$B$5)</f>
        <v/>
      </c>
      <c r="D7" s="20" t="n">
        <v>0</v>
      </c>
      <c r="E7" s="20" t="n">
        <v>0</v>
      </c>
      <c r="F7" s="20" t="n">
        <v>0</v>
      </c>
      <c r="G7" t="inlineStr">
        <is>
          <t>Wash -&gt; aggregate</t>
        </is>
      </c>
      <c r="H7" t="inlineStr"/>
      <c r="I7" s="22">
        <f>C7*F7*(1-E7)</f>
        <v/>
      </c>
      <c r="J7" s="9">
        <f>C7*F7*D7/3.6</f>
        <v/>
      </c>
      <c r="K7" s="22">
        <f>C7*F7</f>
        <v/>
      </c>
    </row>
    <row r="8">
      <c r="A8" t="inlineStr">
        <is>
          <t>Ferrous metals</t>
        </is>
      </c>
      <c r="B8" s="21" t="n">
        <v>0.04</v>
      </c>
      <c r="C8" s="22">
        <f>B8*Inputs!$B$4*(1-Inputs!$B$5)</f>
        <v/>
      </c>
      <c r="D8" s="20" t="n">
        <v>0</v>
      </c>
      <c r="E8" s="20" t="n">
        <v>0</v>
      </c>
      <c r="F8" s="20" t="n">
        <v>0</v>
      </c>
      <c r="G8" t="inlineStr">
        <is>
          <t>Magnet -&gt; smelt</t>
        </is>
      </c>
      <c r="H8" t="inlineStr"/>
      <c r="I8" s="22">
        <f>C8*F8*(1-E8)</f>
        <v/>
      </c>
      <c r="J8" s="9">
        <f>C8*F8*D8/3.6</f>
        <v/>
      </c>
      <c r="K8" s="22">
        <f>C8*F8</f>
        <v/>
      </c>
    </row>
    <row r="9">
      <c r="A9" t="inlineStr">
        <is>
          <t>Non-ferrous metals</t>
        </is>
      </c>
      <c r="B9" s="21" t="n">
        <v>0.012</v>
      </c>
      <c r="C9" s="22">
        <f>B9*Inputs!$B$4*(1-Inputs!$B$5)</f>
        <v/>
      </c>
      <c r="D9" s="20" t="n">
        <v>0</v>
      </c>
      <c r="E9" s="20" t="n">
        <v>0</v>
      </c>
      <c r="F9" s="20" t="n">
        <v>0</v>
      </c>
      <c r="G9" t="inlineStr">
        <is>
          <t>Eddy current -&gt; smelt/refine</t>
        </is>
      </c>
      <c r="H9" t="inlineStr"/>
      <c r="I9" s="22">
        <f>C9*F9*(1-E9)</f>
        <v/>
      </c>
      <c r="J9" s="9">
        <f>C9*F9*D9/3.6</f>
        <v/>
      </c>
      <c r="K9" s="22">
        <f>C9*F9</f>
        <v/>
      </c>
    </row>
    <row r="10">
      <c r="A10" t="inlineStr">
        <is>
          <t>E-waste</t>
        </is>
      </c>
      <c r="B10" s="21" t="n">
        <v>0.003</v>
      </c>
      <c r="C10" s="22">
        <f>B10*Inputs!$B$4*(1-Inputs!$B$5)</f>
        <v/>
      </c>
      <c r="D10" s="20" t="n">
        <v>0</v>
      </c>
      <c r="E10" s="20" t="n">
        <v>0</v>
      </c>
      <c r="F10" s="20" t="n">
        <v>0</v>
      </c>
      <c r="G10" t="inlineStr">
        <is>
          <t>Sensor sort -&gt; precious metal refining</t>
        </is>
      </c>
      <c r="H10" t="inlineStr">
        <is>
          <t>Main gold/silver/Pd source</t>
        </is>
      </c>
      <c r="I10" s="22">
        <f>C10*F10*(1-E10)</f>
        <v/>
      </c>
      <c r="J10" s="9">
        <f>C10*F10*D10/3.6</f>
        <v/>
      </c>
      <c r="K10" s="22">
        <f>C10*F10</f>
        <v/>
      </c>
    </row>
    <row r="11">
      <c r="A11" t="inlineStr">
        <is>
          <t>Batteries</t>
        </is>
      </c>
      <c r="B11" s="21" t="n">
        <v>0.0005</v>
      </c>
      <c r="C11" s="22">
        <f>B11*Inputs!$B$4*(1-Inputs!$B$5)</f>
        <v/>
      </c>
      <c r="D11" s="20" t="n">
        <v>0</v>
      </c>
      <c r="E11" s="20" t="n">
        <v>0</v>
      </c>
      <c r="F11" s="20" t="n">
        <v>0</v>
      </c>
      <c r="G11" t="inlineStr">
        <is>
          <t>Sensor sort -&gt; hydrometallurgy</t>
        </is>
      </c>
      <c r="H11" t="inlineStr">
        <is>
          <t>Li, Co, Ni, Cd</t>
        </is>
      </c>
      <c r="I11" s="22">
        <f>C11*F11*(1-E11)</f>
        <v/>
      </c>
      <c r="J11" s="9">
        <f>C11*F11*D11/3.6</f>
        <v/>
      </c>
      <c r="K11" s="22">
        <f>C11*F11</f>
        <v/>
      </c>
    </row>
    <row r="12">
      <c r="A12" t="inlineStr">
        <is>
          <t>Other / hazardous</t>
        </is>
      </c>
      <c r="B12" s="21" t="n">
        <v>0.0245</v>
      </c>
      <c r="C12" s="22">
        <f>B12*Inputs!$B$4*(1-Inputs!$B$5)</f>
        <v/>
      </c>
      <c r="D12" s="20" t="n">
        <v>0</v>
      </c>
      <c r="E12" s="20" t="n">
        <v>0</v>
      </c>
      <c r="F12" s="20" t="n">
        <v>0</v>
      </c>
      <c r="G12" t="inlineStr">
        <is>
          <t>Mixed; to slag after treatment</t>
        </is>
      </c>
      <c r="H12" t="inlineStr">
        <is>
          <t>Balancing fraction</t>
        </is>
      </c>
      <c r="I12" s="22">
        <f>C12*F12*(1-E12)</f>
        <v/>
      </c>
      <c r="J12" s="9">
        <f>C12*F12*D12/3.6</f>
        <v/>
      </c>
      <c r="K12" s="22">
        <f>C12*F12</f>
        <v/>
      </c>
    </row>
    <row r="13">
      <c r="A13" s="2" t="inlineStr">
        <is>
          <t>TOTAL</t>
        </is>
      </c>
      <c r="B13" s="23">
        <f>SUM(B4:B12)</f>
        <v/>
      </c>
      <c r="C13" s="24">
        <f>SUM(C4:C12)</f>
        <v/>
      </c>
      <c r="I13" s="24">
        <f>SUM(I4:I12)</f>
        <v/>
      </c>
      <c r="J13" s="25">
        <f>SUM(J4:J12)</f>
        <v/>
      </c>
      <c r="K13" s="24">
        <f>SUM(K4:K12)</f>
        <v/>
      </c>
    </row>
    <row r="14">
      <c r="A14" t="inlineStr">
        <is>
          <t>Check: dry fractions must sum to 100%</t>
        </is>
      </c>
      <c r="B14">
        <f>IF(ABS(B13-1)&lt;0.0001,"OK","FIX")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12" customWidth="1" min="3" max="3"/>
    <col width="10" customWidth="1" min="4" max="4"/>
    <col width="12" customWidth="1" min="5" max="5"/>
    <col width="11" customWidth="1" min="6" max="6"/>
    <col width="11" customWidth="1" min="7" max="7"/>
    <col width="10" customWidth="1" min="8" max="8"/>
    <col width="11" customWidth="1" min="9" max="9"/>
    <col width="11" customWidth="1" min="10" max="10"/>
    <col width="30" customWidth="1" min="11" max="11"/>
    <col width="10" customWidth="1" min="12" max="12"/>
    <col width="12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Element inventory, value, harm, Sherwood cost and slider recovery decisions</t>
        </is>
      </c>
    </row>
    <row r="2">
      <c r="A2" t="inlineStr">
        <is>
          <t>Concentrations are placeholder estimates of the RECOVERABLE form in dry feed. Pre-sort factor = how much sorting concentrates the element before extraction.</t>
        </is>
      </c>
    </row>
    <row r="4" ht="45" customHeight="1">
      <c r="A4" s="3" t="inlineStr">
        <is>
          <t>Element</t>
        </is>
      </c>
      <c r="B4" s="3" t="inlineStr">
        <is>
          <t>Symbol</t>
        </is>
      </c>
      <c r="C4" s="3" t="inlineStr">
        <is>
          <t>Conc. in dry feed (ppm)</t>
        </is>
      </c>
      <c r="D4" s="3" t="inlineStr">
        <is>
          <t>Pre-sort conc. factor</t>
        </is>
      </c>
      <c r="E4" s="3" t="inlineStr">
        <is>
          <t>Effective conc. (fraction)</t>
        </is>
      </c>
      <c r="F4" s="3" t="inlineStr">
        <is>
          <t>Value ($/kg)</t>
        </is>
      </c>
      <c r="G4" s="3" t="inlineStr">
        <is>
          <t>Harm if left ($/kg)</t>
        </is>
      </c>
      <c r="H4" s="3" t="inlineStr">
        <is>
          <t>Recovery efficiency</t>
        </is>
      </c>
      <c r="I4" s="3" t="inlineStr">
        <is>
          <t>Refining energy (kWh/kg)</t>
        </is>
      </c>
      <c r="J4" s="3" t="inlineStr">
        <is>
          <t>Policy</t>
        </is>
      </c>
      <c r="K4" s="3" t="inlineStr">
        <is>
          <t>Product form</t>
        </is>
      </c>
      <c r="L4" s="3" t="inlineStr">
        <is>
          <t>Product / element mass ratio</t>
        </is>
      </c>
      <c r="M4" s="3" t="inlineStr">
        <is>
          <t>Sherwood cost ($/kg)</t>
        </is>
      </c>
      <c r="N4" s="3" t="inlineStr">
        <is>
          <t>Mass in feed (kg/t)</t>
        </is>
      </c>
      <c r="O4" s="3" t="inlineStr">
        <is>
          <t>Recover? s1</t>
        </is>
      </c>
      <c r="P4" s="3" t="inlineStr">
        <is>
          <t>Recover? s2</t>
        </is>
      </c>
      <c r="Q4" s="3" t="inlineStr">
        <is>
          <t>Recover? s3</t>
        </is>
      </c>
      <c r="R4" s="3" t="inlineStr">
        <is>
          <t>Recover? s4</t>
        </is>
      </c>
      <c r="S4" s="3" t="inlineStr">
        <is>
          <t>Recover? s5</t>
        </is>
      </c>
      <c r="T4" s="3" t="inlineStr">
        <is>
          <t>Recovered kg s1</t>
        </is>
      </c>
      <c r="U4" s="3" t="inlineStr">
        <is>
          <t>Recovered kg s2</t>
        </is>
      </c>
      <c r="V4" s="3" t="inlineStr">
        <is>
          <t>Recovered kg s3</t>
        </is>
      </c>
      <c r="W4" s="3" t="inlineStr">
        <is>
          <t>Recovered kg s4</t>
        </is>
      </c>
      <c r="X4" s="3" t="inlineStr">
        <is>
          <t>Recovered kg s5</t>
        </is>
      </c>
    </row>
    <row r="5">
      <c r="A5" t="inlineStr">
        <is>
          <t>Iron</t>
        </is>
      </c>
      <c r="B5" t="inlineStr">
        <is>
          <t>Fe</t>
        </is>
      </c>
      <c r="C5" s="26" t="n">
        <v>35000</v>
      </c>
      <c r="D5" s="20" t="n">
        <v>20</v>
      </c>
      <c r="E5" s="27">
        <f>MIN(1,C5*D5/1000000)</f>
        <v/>
      </c>
      <c r="F5" s="28" t="n">
        <v>0.3</v>
      </c>
      <c r="G5" s="29" t="n">
        <v>0</v>
      </c>
      <c r="H5" s="30" t="n">
        <v>0.9</v>
      </c>
      <c r="I5" s="20" t="n">
        <v>0.6</v>
      </c>
      <c r="J5" s="20" t="inlineStr">
        <is>
          <t>Auto</t>
        </is>
      </c>
      <c r="K5" t="inlineStr">
        <is>
          <t>Steel scrap / pig iron</t>
        </is>
      </c>
      <c r="L5" s="20" t="n">
        <v>1</v>
      </c>
      <c r="M5" s="12">
        <f>Inputs!$B$7*E5^(-Inputs!$B$8)</f>
        <v/>
      </c>
      <c r="N5" s="31">
        <f>C5/1000000*Composition!$C$13</f>
        <v/>
      </c>
      <c r="O5">
        <f>IF($J5="Always",1,IF($J5="Immobilize",0,IF($F5+Balance!C$4*$G5&gt;$M5,1,0)))</f>
        <v/>
      </c>
      <c r="P5">
        <f>IF($J5="Always",1,IF($J5="Immobilize",0,IF($F5+Balance!D$4*$G5&gt;$M5,1,0)))</f>
        <v/>
      </c>
      <c r="Q5">
        <f>IF($J5="Always",1,IF($J5="Immobilize",0,IF($F5+Balance!E$4*$G5&gt;$M5,1,0)))</f>
        <v/>
      </c>
      <c r="R5">
        <f>IF($J5="Always",1,IF($J5="Immobilize",0,IF($F5+Balance!F$4*$G5&gt;$M5,1,0)))</f>
        <v/>
      </c>
      <c r="S5">
        <f>IF($J5="Always",1,IF($J5="Immobilize",0,IF($F5+Balance!G$4*$G5&gt;$M5,1,0)))</f>
        <v/>
      </c>
      <c r="T5" s="31">
        <f>$N5*$H5*O5</f>
        <v/>
      </c>
      <c r="U5" s="31">
        <f>$N5*$H5*P5</f>
        <v/>
      </c>
      <c r="V5" s="31">
        <f>$N5*$H5*Q5</f>
        <v/>
      </c>
      <c r="W5" s="31">
        <f>$N5*$H5*R5</f>
        <v/>
      </c>
      <c r="X5" s="31">
        <f>$N5*$H5*S5</f>
        <v/>
      </c>
    </row>
    <row r="6">
      <c r="A6" t="inlineStr">
        <is>
          <t>Aluminium</t>
        </is>
      </c>
      <c r="B6" t="inlineStr">
        <is>
          <t>Al</t>
        </is>
      </c>
      <c r="C6" s="26" t="n">
        <v>6000</v>
      </c>
      <c r="D6" s="20" t="n">
        <v>50</v>
      </c>
      <c r="E6" s="27">
        <f>MIN(1,C6*D6/1000000)</f>
        <v/>
      </c>
      <c r="F6" s="28" t="n">
        <v>1.5</v>
      </c>
      <c r="G6" s="29" t="n">
        <v>0</v>
      </c>
      <c r="H6" s="30" t="n">
        <v>0.8</v>
      </c>
      <c r="I6" s="20" t="n">
        <v>1</v>
      </c>
      <c r="J6" s="20" t="inlineStr">
        <is>
          <t>Auto</t>
        </is>
      </c>
      <c r="K6" t="inlineStr">
        <is>
          <t>Al ingot</t>
        </is>
      </c>
      <c r="L6" s="20" t="n">
        <v>1</v>
      </c>
      <c r="M6" s="12">
        <f>Inputs!$B$7*E6^(-Inputs!$B$8)</f>
        <v/>
      </c>
      <c r="N6" s="31">
        <f>C6/1000000*Composition!$C$13</f>
        <v/>
      </c>
      <c r="O6">
        <f>IF($J6="Always",1,IF($J6="Immobilize",0,IF($F6+Balance!C$4*$G6&gt;$M6,1,0)))</f>
        <v/>
      </c>
      <c r="P6">
        <f>IF($J6="Always",1,IF($J6="Immobilize",0,IF($F6+Balance!D$4*$G6&gt;$M6,1,0)))</f>
        <v/>
      </c>
      <c r="Q6">
        <f>IF($J6="Always",1,IF($J6="Immobilize",0,IF($F6+Balance!E$4*$G6&gt;$M6,1,0)))</f>
        <v/>
      </c>
      <c r="R6">
        <f>IF($J6="Always",1,IF($J6="Immobilize",0,IF($F6+Balance!F$4*$G6&gt;$M6,1,0)))</f>
        <v/>
      </c>
      <c r="S6">
        <f>IF($J6="Always",1,IF($J6="Immobilize",0,IF($F6+Balance!G$4*$G6&gt;$M6,1,0)))</f>
        <v/>
      </c>
      <c r="T6" s="31">
        <f>$N6*$H6*O6</f>
        <v/>
      </c>
      <c r="U6" s="31">
        <f>$N6*$H6*P6</f>
        <v/>
      </c>
      <c r="V6" s="31">
        <f>$N6*$H6*Q6</f>
        <v/>
      </c>
      <c r="W6" s="31">
        <f>$N6*$H6*R6</f>
        <v/>
      </c>
      <c r="X6" s="31">
        <f>$N6*$H6*S6</f>
        <v/>
      </c>
    </row>
    <row r="7">
      <c r="A7" t="inlineStr">
        <is>
          <t>Copper</t>
        </is>
      </c>
      <c r="B7" t="inlineStr">
        <is>
          <t>Cu</t>
        </is>
      </c>
      <c r="C7" s="26" t="n">
        <v>2500</v>
      </c>
      <c r="D7" s="20" t="n">
        <v>30</v>
      </c>
      <c r="E7" s="27">
        <f>MIN(1,C7*D7/1000000)</f>
        <v/>
      </c>
      <c r="F7" s="28" t="n">
        <v>9</v>
      </c>
      <c r="G7" s="29" t="n">
        <v>5</v>
      </c>
      <c r="H7" s="30" t="n">
        <v>0.85</v>
      </c>
      <c r="I7" s="20" t="n">
        <v>1.5</v>
      </c>
      <c r="J7" s="20" t="inlineStr">
        <is>
          <t>Auto</t>
        </is>
      </c>
      <c r="K7" t="inlineStr">
        <is>
          <t>Cathode copper</t>
        </is>
      </c>
      <c r="L7" s="20" t="n">
        <v>1</v>
      </c>
      <c r="M7" s="12">
        <f>Inputs!$B$7*E7^(-Inputs!$B$8)</f>
        <v/>
      </c>
      <c r="N7" s="31">
        <f>C7/1000000*Composition!$C$13</f>
        <v/>
      </c>
      <c r="O7">
        <f>IF($J7="Always",1,IF($J7="Immobilize",0,IF($F7+Balance!C$4*$G7&gt;$M7,1,0)))</f>
        <v/>
      </c>
      <c r="P7">
        <f>IF($J7="Always",1,IF($J7="Immobilize",0,IF($F7+Balance!D$4*$G7&gt;$M7,1,0)))</f>
        <v/>
      </c>
      <c r="Q7">
        <f>IF($J7="Always",1,IF($J7="Immobilize",0,IF($F7+Balance!E$4*$G7&gt;$M7,1,0)))</f>
        <v/>
      </c>
      <c r="R7">
        <f>IF($J7="Always",1,IF($J7="Immobilize",0,IF($F7+Balance!F$4*$G7&gt;$M7,1,0)))</f>
        <v/>
      </c>
      <c r="S7">
        <f>IF($J7="Always",1,IF($J7="Immobilize",0,IF($F7+Balance!G$4*$G7&gt;$M7,1,0)))</f>
        <v/>
      </c>
      <c r="T7" s="31">
        <f>$N7*$H7*O7</f>
        <v/>
      </c>
      <c r="U7" s="31">
        <f>$N7*$H7*P7</f>
        <v/>
      </c>
      <c r="V7" s="31">
        <f>$N7*$H7*Q7</f>
        <v/>
      </c>
      <c r="W7" s="31">
        <f>$N7*$H7*R7</f>
        <v/>
      </c>
      <c r="X7" s="31">
        <f>$N7*$H7*S7</f>
        <v/>
      </c>
    </row>
    <row r="8">
      <c r="A8" t="inlineStr">
        <is>
          <t>Zinc</t>
        </is>
      </c>
      <c r="B8" t="inlineStr">
        <is>
          <t>Zn</t>
        </is>
      </c>
      <c r="C8" s="26" t="n">
        <v>1500</v>
      </c>
      <c r="D8" s="20" t="n">
        <v>5</v>
      </c>
      <c r="E8" s="27">
        <f>MIN(1,C8*D8/1000000)</f>
        <v/>
      </c>
      <c r="F8" s="28" t="n">
        <v>2.7</v>
      </c>
      <c r="G8" s="29" t="n">
        <v>10</v>
      </c>
      <c r="H8" s="30" t="n">
        <v>0.7</v>
      </c>
      <c r="I8" s="20" t="n">
        <v>3</v>
      </c>
      <c r="J8" s="20" t="inlineStr">
        <is>
          <t>Auto</t>
        </is>
      </c>
      <c r="K8" t="inlineStr">
        <is>
          <t>Zn oxide / metal</t>
        </is>
      </c>
      <c r="L8" s="20" t="n">
        <v>1</v>
      </c>
      <c r="M8" s="12">
        <f>Inputs!$B$7*E8^(-Inputs!$B$8)</f>
        <v/>
      </c>
      <c r="N8" s="31">
        <f>C8/1000000*Composition!$C$13</f>
        <v/>
      </c>
      <c r="O8">
        <f>IF($J8="Always",1,IF($J8="Immobilize",0,IF($F8+Balance!C$4*$G8&gt;$M8,1,0)))</f>
        <v/>
      </c>
      <c r="P8">
        <f>IF($J8="Always",1,IF($J8="Immobilize",0,IF($F8+Balance!D$4*$G8&gt;$M8,1,0)))</f>
        <v/>
      </c>
      <c r="Q8">
        <f>IF($J8="Always",1,IF($J8="Immobilize",0,IF($F8+Balance!E$4*$G8&gt;$M8,1,0)))</f>
        <v/>
      </c>
      <c r="R8">
        <f>IF($J8="Always",1,IF($J8="Immobilize",0,IF($F8+Balance!F$4*$G8&gt;$M8,1,0)))</f>
        <v/>
      </c>
      <c r="S8">
        <f>IF($J8="Always",1,IF($J8="Immobilize",0,IF($F8+Balance!G$4*$G8&gt;$M8,1,0)))</f>
        <v/>
      </c>
      <c r="T8" s="31">
        <f>$N8*$H8*O8</f>
        <v/>
      </c>
      <c r="U8" s="31">
        <f>$N8*$H8*P8</f>
        <v/>
      </c>
      <c r="V8" s="31">
        <f>$N8*$H8*Q8</f>
        <v/>
      </c>
      <c r="W8" s="31">
        <f>$N8*$H8*R8</f>
        <v/>
      </c>
      <c r="X8" s="31">
        <f>$N8*$H8*S8</f>
        <v/>
      </c>
    </row>
    <row r="9">
      <c r="A9" t="inlineStr">
        <is>
          <t>Lead</t>
        </is>
      </c>
      <c r="B9" t="inlineStr">
        <is>
          <t>Pb</t>
        </is>
      </c>
      <c r="C9" s="26" t="n">
        <v>800</v>
      </c>
      <c r="D9" s="20" t="n">
        <v>10</v>
      </c>
      <c r="E9" s="27">
        <f>MIN(1,C9*D9/1000000)</f>
        <v/>
      </c>
      <c r="F9" s="28" t="n">
        <v>2</v>
      </c>
      <c r="G9" s="29" t="n">
        <v>200</v>
      </c>
      <c r="H9" s="30" t="n">
        <v>0.75</v>
      </c>
      <c r="I9" s="20" t="n">
        <v>1</v>
      </c>
      <c r="J9" s="20" t="inlineStr">
        <is>
          <t>Auto</t>
        </is>
      </c>
      <c r="K9" t="inlineStr">
        <is>
          <t>Lead bullion</t>
        </is>
      </c>
      <c r="L9" s="20" t="n">
        <v>1</v>
      </c>
      <c r="M9" s="12">
        <f>Inputs!$B$7*E9^(-Inputs!$B$8)</f>
        <v/>
      </c>
      <c r="N9" s="31">
        <f>C9/1000000*Composition!$C$13</f>
        <v/>
      </c>
      <c r="O9">
        <f>IF($J9="Always",1,IF($J9="Immobilize",0,IF($F9+Balance!C$4*$G9&gt;$M9,1,0)))</f>
        <v/>
      </c>
      <c r="P9">
        <f>IF($J9="Always",1,IF($J9="Immobilize",0,IF($F9+Balance!D$4*$G9&gt;$M9,1,0)))</f>
        <v/>
      </c>
      <c r="Q9">
        <f>IF($J9="Always",1,IF($J9="Immobilize",0,IF($F9+Balance!E$4*$G9&gt;$M9,1,0)))</f>
        <v/>
      </c>
      <c r="R9">
        <f>IF($J9="Always",1,IF($J9="Immobilize",0,IF($F9+Balance!F$4*$G9&gt;$M9,1,0)))</f>
        <v/>
      </c>
      <c r="S9">
        <f>IF($J9="Always",1,IF($J9="Immobilize",0,IF($F9+Balance!G$4*$G9&gt;$M9,1,0)))</f>
        <v/>
      </c>
      <c r="T9" s="31">
        <f>$N9*$H9*O9</f>
        <v/>
      </c>
      <c r="U9" s="31">
        <f>$N9*$H9*P9</f>
        <v/>
      </c>
      <c r="V9" s="31">
        <f>$N9*$H9*Q9</f>
        <v/>
      </c>
      <c r="W9" s="31">
        <f>$N9*$H9*R9</f>
        <v/>
      </c>
      <c r="X9" s="31">
        <f>$N9*$H9*S9</f>
        <v/>
      </c>
    </row>
    <row r="10">
      <c r="A10" t="inlineStr">
        <is>
          <t>Nickel</t>
        </is>
      </c>
      <c r="B10" t="inlineStr">
        <is>
          <t>Ni</t>
        </is>
      </c>
      <c r="C10" s="26" t="n">
        <v>300</v>
      </c>
      <c r="D10" s="20" t="n">
        <v>20</v>
      </c>
      <c r="E10" s="27">
        <f>MIN(1,C10*D10/1000000)</f>
        <v/>
      </c>
      <c r="F10" s="28" t="n">
        <v>16</v>
      </c>
      <c r="G10" s="29" t="n">
        <v>20</v>
      </c>
      <c r="H10" s="30" t="n">
        <v>0.6</v>
      </c>
      <c r="I10" s="20" t="n">
        <v>4</v>
      </c>
      <c r="J10" s="20" t="inlineStr">
        <is>
          <t>Auto</t>
        </is>
      </c>
      <c r="K10" t="inlineStr">
        <is>
          <t>Ni metal / sulfate</t>
        </is>
      </c>
      <c r="L10" s="20" t="n">
        <v>1</v>
      </c>
      <c r="M10" s="12">
        <f>Inputs!$B$7*E10^(-Inputs!$B$8)</f>
        <v/>
      </c>
      <c r="N10" s="31">
        <f>C10/1000000*Composition!$C$13</f>
        <v/>
      </c>
      <c r="O10">
        <f>IF($J10="Always",1,IF($J10="Immobilize",0,IF($F10+Balance!C$4*$G10&gt;$M10,1,0)))</f>
        <v/>
      </c>
      <c r="P10">
        <f>IF($J10="Always",1,IF($J10="Immobilize",0,IF($F10+Balance!D$4*$G10&gt;$M10,1,0)))</f>
        <v/>
      </c>
      <c r="Q10">
        <f>IF($J10="Always",1,IF($J10="Immobilize",0,IF($F10+Balance!E$4*$G10&gt;$M10,1,0)))</f>
        <v/>
      </c>
      <c r="R10">
        <f>IF($J10="Always",1,IF($J10="Immobilize",0,IF($F10+Balance!F$4*$G10&gt;$M10,1,0)))</f>
        <v/>
      </c>
      <c r="S10">
        <f>IF($J10="Always",1,IF($J10="Immobilize",0,IF($F10+Balance!G$4*$G10&gt;$M10,1,0)))</f>
        <v/>
      </c>
      <c r="T10" s="31">
        <f>$N10*$H10*O10</f>
        <v/>
      </c>
      <c r="U10" s="31">
        <f>$N10*$H10*P10</f>
        <v/>
      </c>
      <c r="V10" s="31">
        <f>$N10*$H10*Q10</f>
        <v/>
      </c>
      <c r="W10" s="31">
        <f>$N10*$H10*R10</f>
        <v/>
      </c>
      <c r="X10" s="31">
        <f>$N10*$H10*S10</f>
        <v/>
      </c>
    </row>
    <row r="11">
      <c r="A11" t="inlineStr">
        <is>
          <t>Tin</t>
        </is>
      </c>
      <c r="B11" t="inlineStr">
        <is>
          <t>Sn</t>
        </is>
      </c>
      <c r="C11" s="26" t="n">
        <v>200</v>
      </c>
      <c r="D11" s="20" t="n">
        <v>20</v>
      </c>
      <c r="E11" s="27">
        <f>MIN(1,C11*D11/1000000)</f>
        <v/>
      </c>
      <c r="F11" s="28" t="n">
        <v>30</v>
      </c>
      <c r="G11" s="29" t="n">
        <v>1</v>
      </c>
      <c r="H11" s="30" t="n">
        <v>0.6</v>
      </c>
      <c r="I11" s="20" t="n">
        <v>3</v>
      </c>
      <c r="J11" s="20" t="inlineStr">
        <is>
          <t>Auto</t>
        </is>
      </c>
      <c r="K11" t="inlineStr">
        <is>
          <t>Tin metal</t>
        </is>
      </c>
      <c r="L11" s="20" t="n">
        <v>1</v>
      </c>
      <c r="M11" s="12">
        <f>Inputs!$B$7*E11^(-Inputs!$B$8)</f>
        <v/>
      </c>
      <c r="N11" s="31">
        <f>C11/1000000*Composition!$C$13</f>
        <v/>
      </c>
      <c r="O11">
        <f>IF($J11="Always",1,IF($J11="Immobilize",0,IF($F11+Balance!C$4*$G11&gt;$M11,1,0)))</f>
        <v/>
      </c>
      <c r="P11">
        <f>IF($J11="Always",1,IF($J11="Immobilize",0,IF($F11+Balance!D$4*$G11&gt;$M11,1,0)))</f>
        <v/>
      </c>
      <c r="Q11">
        <f>IF($J11="Always",1,IF($J11="Immobilize",0,IF($F11+Balance!E$4*$G11&gt;$M11,1,0)))</f>
        <v/>
      </c>
      <c r="R11">
        <f>IF($J11="Always",1,IF($J11="Immobilize",0,IF($F11+Balance!F$4*$G11&gt;$M11,1,0)))</f>
        <v/>
      </c>
      <c r="S11">
        <f>IF($J11="Always",1,IF($J11="Immobilize",0,IF($F11+Balance!G$4*$G11&gt;$M11,1,0)))</f>
        <v/>
      </c>
      <c r="T11" s="31">
        <f>$N11*$H11*O11</f>
        <v/>
      </c>
      <c r="U11" s="31">
        <f>$N11*$H11*P11</f>
        <v/>
      </c>
      <c r="V11" s="31">
        <f>$N11*$H11*Q11</f>
        <v/>
      </c>
      <c r="W11" s="31">
        <f>$N11*$H11*R11</f>
        <v/>
      </c>
      <c r="X11" s="31">
        <f>$N11*$H11*S11</f>
        <v/>
      </c>
    </row>
    <row r="12">
      <c r="A12" t="inlineStr">
        <is>
          <t>Antimony</t>
        </is>
      </c>
      <c r="B12" t="inlineStr">
        <is>
          <t>Sb</t>
        </is>
      </c>
      <c r="C12" s="26" t="n">
        <v>30</v>
      </c>
      <c r="D12" s="20" t="n">
        <v>5</v>
      </c>
      <c r="E12" s="27">
        <f>MIN(1,C12*D12/1000000)</f>
        <v/>
      </c>
      <c r="F12" s="28" t="n">
        <v>40</v>
      </c>
      <c r="G12" s="29" t="n">
        <v>50</v>
      </c>
      <c r="H12" s="30" t="n">
        <v>0.5</v>
      </c>
      <c r="I12" s="20" t="n">
        <v>5</v>
      </c>
      <c r="J12" s="20" t="inlineStr">
        <is>
          <t>Auto</t>
        </is>
      </c>
      <c r="K12" t="inlineStr">
        <is>
          <t>Sb2O3</t>
        </is>
      </c>
      <c r="L12" s="20" t="n">
        <v>1.2</v>
      </c>
      <c r="M12" s="12">
        <f>Inputs!$B$7*E12^(-Inputs!$B$8)</f>
        <v/>
      </c>
      <c r="N12" s="31">
        <f>C12/1000000*Composition!$C$13</f>
        <v/>
      </c>
      <c r="O12">
        <f>IF($J12="Always",1,IF($J12="Immobilize",0,IF($F12+Balance!C$4*$G12&gt;$M12,1,0)))</f>
        <v/>
      </c>
      <c r="P12">
        <f>IF($J12="Always",1,IF($J12="Immobilize",0,IF($F12+Balance!D$4*$G12&gt;$M12,1,0)))</f>
        <v/>
      </c>
      <c r="Q12">
        <f>IF($J12="Always",1,IF($J12="Immobilize",0,IF($F12+Balance!E$4*$G12&gt;$M12,1,0)))</f>
        <v/>
      </c>
      <c r="R12">
        <f>IF($J12="Always",1,IF($J12="Immobilize",0,IF($F12+Balance!F$4*$G12&gt;$M12,1,0)))</f>
        <v/>
      </c>
      <c r="S12">
        <f>IF($J12="Always",1,IF($J12="Immobilize",0,IF($F12+Balance!G$4*$G12&gt;$M12,1,0)))</f>
        <v/>
      </c>
      <c r="T12" s="31">
        <f>$N12*$H12*O12</f>
        <v/>
      </c>
      <c r="U12" s="31">
        <f>$N12*$H12*P12</f>
        <v/>
      </c>
      <c r="V12" s="31">
        <f>$N12*$H12*Q12</f>
        <v/>
      </c>
      <c r="W12" s="31">
        <f>$N12*$H12*R12</f>
        <v/>
      </c>
      <c r="X12" s="31">
        <f>$N12*$H12*S12</f>
        <v/>
      </c>
    </row>
    <row r="13">
      <c r="A13" t="inlineStr">
        <is>
          <t>Chromium</t>
        </is>
      </c>
      <c r="B13" t="inlineStr">
        <is>
          <t>Cr</t>
        </is>
      </c>
      <c r="C13" s="26" t="n">
        <v>100</v>
      </c>
      <c r="D13" s="20" t="n">
        <v>2</v>
      </c>
      <c r="E13" s="27">
        <f>MIN(1,C13*D13/1000000)</f>
        <v/>
      </c>
      <c r="F13" s="28" t="n">
        <v>10</v>
      </c>
      <c r="G13" s="29" t="n">
        <v>500</v>
      </c>
      <c r="H13" s="30" t="n">
        <v>0.5</v>
      </c>
      <c r="I13" s="20" t="n">
        <v>5</v>
      </c>
      <c r="J13" s="20" t="inlineStr">
        <is>
          <t>Auto</t>
        </is>
      </c>
      <c r="K13" t="inlineStr">
        <is>
          <t>Cr2O3 (stable Cr III)</t>
        </is>
      </c>
      <c r="L13" s="20" t="n">
        <v>1.46</v>
      </c>
      <c r="M13" s="12">
        <f>Inputs!$B$7*E13^(-Inputs!$B$8)</f>
        <v/>
      </c>
      <c r="N13" s="31">
        <f>C13/1000000*Composition!$C$13</f>
        <v/>
      </c>
      <c r="O13">
        <f>IF($J13="Always",1,IF($J13="Immobilize",0,IF($F13+Balance!C$4*$G13&gt;$M13,1,0)))</f>
        <v/>
      </c>
      <c r="P13">
        <f>IF($J13="Always",1,IF($J13="Immobilize",0,IF($F13+Balance!D$4*$G13&gt;$M13,1,0)))</f>
        <v/>
      </c>
      <c r="Q13">
        <f>IF($J13="Always",1,IF($J13="Immobilize",0,IF($F13+Balance!E$4*$G13&gt;$M13,1,0)))</f>
        <v/>
      </c>
      <c r="R13">
        <f>IF($J13="Always",1,IF($J13="Immobilize",0,IF($F13+Balance!F$4*$G13&gt;$M13,1,0)))</f>
        <v/>
      </c>
      <c r="S13">
        <f>IF($J13="Always",1,IF($J13="Immobilize",0,IF($F13+Balance!G$4*$G13&gt;$M13,1,0)))</f>
        <v/>
      </c>
      <c r="T13" s="31">
        <f>$N13*$H13*O13</f>
        <v/>
      </c>
      <c r="U13" s="31">
        <f>$N13*$H13*P13</f>
        <v/>
      </c>
      <c r="V13" s="31">
        <f>$N13*$H13*Q13</f>
        <v/>
      </c>
      <c r="W13" s="31">
        <f>$N13*$H13*R13</f>
        <v/>
      </c>
      <c r="X13" s="31">
        <f>$N13*$H13*S13</f>
        <v/>
      </c>
    </row>
    <row r="14">
      <c r="A14" t="inlineStr">
        <is>
          <t>Cobalt</t>
        </is>
      </c>
      <c r="B14" t="inlineStr">
        <is>
          <t>Co</t>
        </is>
      </c>
      <c r="C14" s="26" t="n">
        <v>15</v>
      </c>
      <c r="D14" s="20" t="n">
        <v>300</v>
      </c>
      <c r="E14" s="27">
        <f>MIN(1,C14*D14/1000000)</f>
        <v/>
      </c>
      <c r="F14" s="28" t="n">
        <v>30</v>
      </c>
      <c r="G14" s="29" t="n">
        <v>50</v>
      </c>
      <c r="H14" s="30" t="n">
        <v>0.6</v>
      </c>
      <c r="I14" s="20" t="n">
        <v>10</v>
      </c>
      <c r="J14" s="20" t="inlineStr">
        <is>
          <t>Auto</t>
        </is>
      </c>
      <c r="K14" t="inlineStr">
        <is>
          <t>Co metal / hydroxide</t>
        </is>
      </c>
      <c r="L14" s="20" t="n">
        <v>1</v>
      </c>
      <c r="M14" s="12">
        <f>Inputs!$B$7*E14^(-Inputs!$B$8)</f>
        <v/>
      </c>
      <c r="N14" s="31">
        <f>C14/1000000*Composition!$C$13</f>
        <v/>
      </c>
      <c r="O14">
        <f>IF($J14="Always",1,IF($J14="Immobilize",0,IF($F14+Balance!C$4*$G14&gt;$M14,1,0)))</f>
        <v/>
      </c>
      <c r="P14">
        <f>IF($J14="Always",1,IF($J14="Immobilize",0,IF($F14+Balance!D$4*$G14&gt;$M14,1,0)))</f>
        <v/>
      </c>
      <c r="Q14">
        <f>IF($J14="Always",1,IF($J14="Immobilize",0,IF($F14+Balance!E$4*$G14&gt;$M14,1,0)))</f>
        <v/>
      </c>
      <c r="R14">
        <f>IF($J14="Always",1,IF($J14="Immobilize",0,IF($F14+Balance!F$4*$G14&gt;$M14,1,0)))</f>
        <v/>
      </c>
      <c r="S14">
        <f>IF($J14="Always",1,IF($J14="Immobilize",0,IF($F14+Balance!G$4*$G14&gt;$M14,1,0)))</f>
        <v/>
      </c>
      <c r="T14" s="31">
        <f>$N14*$H14*O14</f>
        <v/>
      </c>
      <c r="U14" s="31">
        <f>$N14*$H14*P14</f>
        <v/>
      </c>
      <c r="V14" s="31">
        <f>$N14*$H14*Q14</f>
        <v/>
      </c>
      <c r="W14" s="31">
        <f>$N14*$H14*R14</f>
        <v/>
      </c>
      <c r="X14" s="31">
        <f>$N14*$H14*S14</f>
        <v/>
      </c>
    </row>
    <row r="15">
      <c r="A15" t="inlineStr">
        <is>
          <t>Lithium</t>
        </is>
      </c>
      <c r="B15" t="inlineStr">
        <is>
          <t>Li</t>
        </is>
      </c>
      <c r="C15" s="26" t="n">
        <v>20</v>
      </c>
      <c r="D15" s="20" t="n">
        <v>500</v>
      </c>
      <c r="E15" s="27">
        <f>MIN(1,C15*D15/1000000)</f>
        <v/>
      </c>
      <c r="F15" s="28" t="n">
        <v>60</v>
      </c>
      <c r="G15" s="29" t="n">
        <v>5</v>
      </c>
      <c r="H15" s="30" t="n">
        <v>0.5</v>
      </c>
      <c r="I15" s="20" t="n">
        <v>30</v>
      </c>
      <c r="J15" s="20" t="inlineStr">
        <is>
          <t>Auto</t>
        </is>
      </c>
      <c r="K15" t="inlineStr">
        <is>
          <t>Li2CO3</t>
        </is>
      </c>
      <c r="L15" s="20" t="n">
        <v>5.32</v>
      </c>
      <c r="M15" s="12">
        <f>Inputs!$B$7*E15^(-Inputs!$B$8)</f>
        <v/>
      </c>
      <c r="N15" s="31">
        <f>C15/1000000*Composition!$C$13</f>
        <v/>
      </c>
      <c r="O15">
        <f>IF($J15="Always",1,IF($J15="Immobilize",0,IF($F15+Balance!C$4*$G15&gt;$M15,1,0)))</f>
        <v/>
      </c>
      <c r="P15">
        <f>IF($J15="Always",1,IF($J15="Immobilize",0,IF($F15+Balance!D$4*$G15&gt;$M15,1,0)))</f>
        <v/>
      </c>
      <c r="Q15">
        <f>IF($J15="Always",1,IF($J15="Immobilize",0,IF($F15+Balance!E$4*$G15&gt;$M15,1,0)))</f>
        <v/>
      </c>
      <c r="R15">
        <f>IF($J15="Always",1,IF($J15="Immobilize",0,IF($F15+Balance!F$4*$G15&gt;$M15,1,0)))</f>
        <v/>
      </c>
      <c r="S15">
        <f>IF($J15="Always",1,IF($J15="Immobilize",0,IF($F15+Balance!G$4*$G15&gt;$M15,1,0)))</f>
        <v/>
      </c>
      <c r="T15" s="31">
        <f>$N15*$H15*O15</f>
        <v/>
      </c>
      <c r="U15" s="31">
        <f>$N15*$H15*P15</f>
        <v/>
      </c>
      <c r="V15" s="31">
        <f>$N15*$H15*Q15</f>
        <v/>
      </c>
      <c r="W15" s="31">
        <f>$N15*$H15*R15</f>
        <v/>
      </c>
      <c r="X15" s="31">
        <f>$N15*$H15*S15</f>
        <v/>
      </c>
    </row>
    <row r="16">
      <c r="A16" t="inlineStr">
        <is>
          <t>Rare earths (total)</t>
        </is>
      </c>
      <c r="B16" t="inlineStr">
        <is>
          <t>REE</t>
        </is>
      </c>
      <c r="C16" s="26" t="n">
        <v>30</v>
      </c>
      <c r="D16" s="20" t="n">
        <v>200</v>
      </c>
      <c r="E16" s="27">
        <f>MIN(1,C16*D16/1000000)</f>
        <v/>
      </c>
      <c r="F16" s="28" t="n">
        <v>50</v>
      </c>
      <c r="G16" s="29" t="n">
        <v>1</v>
      </c>
      <c r="H16" s="30" t="n">
        <v>0.4</v>
      </c>
      <c r="I16" s="20" t="n">
        <v>50</v>
      </c>
      <c r="J16" s="20" t="inlineStr">
        <is>
          <t>Auto</t>
        </is>
      </c>
      <c r="K16" t="inlineStr">
        <is>
          <t>Mixed RE oxides</t>
        </is>
      </c>
      <c r="L16" s="20" t="n">
        <v>1.17</v>
      </c>
      <c r="M16" s="12">
        <f>Inputs!$B$7*E16^(-Inputs!$B$8)</f>
        <v/>
      </c>
      <c r="N16" s="31">
        <f>C16/1000000*Composition!$C$13</f>
        <v/>
      </c>
      <c r="O16">
        <f>IF($J16="Always",1,IF($J16="Immobilize",0,IF($F16+Balance!C$4*$G16&gt;$M16,1,0)))</f>
        <v/>
      </c>
      <c r="P16">
        <f>IF($J16="Always",1,IF($J16="Immobilize",0,IF($F16+Balance!D$4*$G16&gt;$M16,1,0)))</f>
        <v/>
      </c>
      <c r="Q16">
        <f>IF($J16="Always",1,IF($J16="Immobilize",0,IF($F16+Balance!E$4*$G16&gt;$M16,1,0)))</f>
        <v/>
      </c>
      <c r="R16">
        <f>IF($J16="Always",1,IF($J16="Immobilize",0,IF($F16+Balance!F$4*$G16&gt;$M16,1,0)))</f>
        <v/>
      </c>
      <c r="S16">
        <f>IF($J16="Always",1,IF($J16="Immobilize",0,IF($F16+Balance!G$4*$G16&gt;$M16,1,0)))</f>
        <v/>
      </c>
      <c r="T16" s="31">
        <f>$N16*$H16*O16</f>
        <v/>
      </c>
      <c r="U16" s="31">
        <f>$N16*$H16*P16</f>
        <v/>
      </c>
      <c r="V16" s="31">
        <f>$N16*$H16*Q16</f>
        <v/>
      </c>
      <c r="W16" s="31">
        <f>$N16*$H16*R16</f>
        <v/>
      </c>
      <c r="X16" s="31">
        <f>$N16*$H16*S16</f>
        <v/>
      </c>
    </row>
    <row r="17">
      <c r="A17" t="inlineStr">
        <is>
          <t>Silver</t>
        </is>
      </c>
      <c r="B17" t="inlineStr">
        <is>
          <t>Ag</t>
        </is>
      </c>
      <c r="C17" s="26" t="n">
        <v>10</v>
      </c>
      <c r="D17" s="20" t="n">
        <v>100</v>
      </c>
      <c r="E17" s="27">
        <f>MIN(1,C17*D17/1000000)</f>
        <v/>
      </c>
      <c r="F17" s="28" t="n">
        <v>1200</v>
      </c>
      <c r="G17" s="29" t="n">
        <v>10</v>
      </c>
      <c r="H17" s="30" t="n">
        <v>0.7</v>
      </c>
      <c r="I17" s="20" t="n">
        <v>20</v>
      </c>
      <c r="J17" s="20" t="inlineStr">
        <is>
          <t>Auto</t>
        </is>
      </c>
      <c r="K17" t="inlineStr">
        <is>
          <t>Silver bullion</t>
        </is>
      </c>
      <c r="L17" s="20" t="n">
        <v>1</v>
      </c>
      <c r="M17" s="12">
        <f>Inputs!$B$7*E17^(-Inputs!$B$8)</f>
        <v/>
      </c>
      <c r="N17" s="31">
        <f>C17/1000000*Composition!$C$13</f>
        <v/>
      </c>
      <c r="O17">
        <f>IF($J17="Always",1,IF($J17="Immobilize",0,IF($F17+Balance!C$4*$G17&gt;$M17,1,0)))</f>
        <v/>
      </c>
      <c r="P17">
        <f>IF($J17="Always",1,IF($J17="Immobilize",0,IF($F17+Balance!D$4*$G17&gt;$M17,1,0)))</f>
        <v/>
      </c>
      <c r="Q17">
        <f>IF($J17="Always",1,IF($J17="Immobilize",0,IF($F17+Balance!E$4*$G17&gt;$M17,1,0)))</f>
        <v/>
      </c>
      <c r="R17">
        <f>IF($J17="Always",1,IF($J17="Immobilize",0,IF($F17+Balance!F$4*$G17&gt;$M17,1,0)))</f>
        <v/>
      </c>
      <c r="S17">
        <f>IF($J17="Always",1,IF($J17="Immobilize",0,IF($F17+Balance!G$4*$G17&gt;$M17,1,0)))</f>
        <v/>
      </c>
      <c r="T17" s="31">
        <f>$N17*$H17*O17</f>
        <v/>
      </c>
      <c r="U17" s="31">
        <f>$N17*$H17*P17</f>
        <v/>
      </c>
      <c r="V17" s="31">
        <f>$N17*$H17*Q17</f>
        <v/>
      </c>
      <c r="W17" s="31">
        <f>$N17*$H17*R17</f>
        <v/>
      </c>
      <c r="X17" s="31">
        <f>$N17*$H17*S17</f>
        <v/>
      </c>
    </row>
    <row r="18">
      <c r="A18" t="inlineStr">
        <is>
          <t>Gold</t>
        </is>
      </c>
      <c r="B18" t="inlineStr">
        <is>
          <t>Au</t>
        </is>
      </c>
      <c r="C18" s="26" t="n">
        <v>0.5</v>
      </c>
      <c r="D18" s="20" t="n">
        <v>300</v>
      </c>
      <c r="E18" s="27">
        <f>MIN(1,C18*D18/1000000)</f>
        <v/>
      </c>
      <c r="F18" s="28" t="n">
        <v>110000</v>
      </c>
      <c r="G18" s="29" t="n">
        <v>0</v>
      </c>
      <c r="H18" s="30" t="n">
        <v>0.7</v>
      </c>
      <c r="I18" s="20" t="n">
        <v>100</v>
      </c>
      <c r="J18" s="20" t="inlineStr">
        <is>
          <t>Auto</t>
        </is>
      </c>
      <c r="K18" t="inlineStr">
        <is>
          <t>Gold bullion</t>
        </is>
      </c>
      <c r="L18" s="20" t="n">
        <v>1</v>
      </c>
      <c r="M18" s="12">
        <f>Inputs!$B$7*E18^(-Inputs!$B$8)</f>
        <v/>
      </c>
      <c r="N18" s="31">
        <f>C18/1000000*Composition!$C$13</f>
        <v/>
      </c>
      <c r="O18">
        <f>IF($J18="Always",1,IF($J18="Immobilize",0,IF($F18+Balance!C$4*$G18&gt;$M18,1,0)))</f>
        <v/>
      </c>
      <c r="P18">
        <f>IF($J18="Always",1,IF($J18="Immobilize",0,IF($F18+Balance!D$4*$G18&gt;$M18,1,0)))</f>
        <v/>
      </c>
      <c r="Q18">
        <f>IF($J18="Always",1,IF($J18="Immobilize",0,IF($F18+Balance!E$4*$G18&gt;$M18,1,0)))</f>
        <v/>
      </c>
      <c r="R18">
        <f>IF($J18="Always",1,IF($J18="Immobilize",0,IF($F18+Balance!F$4*$G18&gt;$M18,1,0)))</f>
        <v/>
      </c>
      <c r="S18">
        <f>IF($J18="Always",1,IF($J18="Immobilize",0,IF($F18+Balance!G$4*$G18&gt;$M18,1,0)))</f>
        <v/>
      </c>
      <c r="T18" s="31">
        <f>$N18*$H18*O18</f>
        <v/>
      </c>
      <c r="U18" s="31">
        <f>$N18*$H18*P18</f>
        <v/>
      </c>
      <c r="V18" s="31">
        <f>$N18*$H18*Q18</f>
        <v/>
      </c>
      <c r="W18" s="31">
        <f>$N18*$H18*R18</f>
        <v/>
      </c>
      <c r="X18" s="31">
        <f>$N18*$H18*S18</f>
        <v/>
      </c>
    </row>
    <row r="19">
      <c r="A19" t="inlineStr">
        <is>
          <t>Palladium</t>
        </is>
      </c>
      <c r="B19" t="inlineStr">
        <is>
          <t>Pd</t>
        </is>
      </c>
      <c r="C19" s="26" t="n">
        <v>0.2</v>
      </c>
      <c r="D19" s="20" t="n">
        <v>300</v>
      </c>
      <c r="E19" s="27">
        <f>MIN(1,C19*D19/1000000)</f>
        <v/>
      </c>
      <c r="F19" s="28" t="n">
        <v>35000</v>
      </c>
      <c r="G19" s="29" t="n">
        <v>0</v>
      </c>
      <c r="H19" s="30" t="n">
        <v>0.6</v>
      </c>
      <c r="I19" s="20" t="n">
        <v>100</v>
      </c>
      <c r="J19" s="20" t="inlineStr">
        <is>
          <t>Auto</t>
        </is>
      </c>
      <c r="K19" t="inlineStr">
        <is>
          <t>Pd sponge</t>
        </is>
      </c>
      <c r="L19" s="20" t="n">
        <v>1</v>
      </c>
      <c r="M19" s="12">
        <f>Inputs!$B$7*E19^(-Inputs!$B$8)</f>
        <v/>
      </c>
      <c r="N19" s="31">
        <f>C19/1000000*Composition!$C$13</f>
        <v/>
      </c>
      <c r="O19">
        <f>IF($J19="Always",1,IF($J19="Immobilize",0,IF($F19+Balance!C$4*$G19&gt;$M19,1,0)))</f>
        <v/>
      </c>
      <c r="P19">
        <f>IF($J19="Always",1,IF($J19="Immobilize",0,IF($F19+Balance!D$4*$G19&gt;$M19,1,0)))</f>
        <v/>
      </c>
      <c r="Q19">
        <f>IF($J19="Always",1,IF($J19="Immobilize",0,IF($F19+Balance!E$4*$G19&gt;$M19,1,0)))</f>
        <v/>
      </c>
      <c r="R19">
        <f>IF($J19="Always",1,IF($J19="Immobilize",0,IF($F19+Balance!F$4*$G19&gt;$M19,1,0)))</f>
        <v/>
      </c>
      <c r="S19">
        <f>IF($J19="Always",1,IF($J19="Immobilize",0,IF($F19+Balance!G$4*$G19&gt;$M19,1,0)))</f>
        <v/>
      </c>
      <c r="T19" s="31">
        <f>$N19*$H19*O19</f>
        <v/>
      </c>
      <c r="U19" s="31">
        <f>$N19*$H19*P19</f>
        <v/>
      </c>
      <c r="V19" s="31">
        <f>$N19*$H19*Q19</f>
        <v/>
      </c>
      <c r="W19" s="31">
        <f>$N19*$H19*R19</f>
        <v/>
      </c>
      <c r="X19" s="31">
        <f>$N19*$H19*S19</f>
        <v/>
      </c>
    </row>
    <row r="20">
      <c r="A20" t="inlineStr">
        <is>
          <t>Cadmium</t>
        </is>
      </c>
      <c r="B20" t="inlineStr">
        <is>
          <t>Cd</t>
        </is>
      </c>
      <c r="C20" s="26" t="n">
        <v>5</v>
      </c>
      <c r="D20" s="20" t="n">
        <v>10</v>
      </c>
      <c r="E20" s="27">
        <f>MIN(1,C20*D20/1000000)</f>
        <v/>
      </c>
      <c r="F20" s="28" t="n">
        <v>3</v>
      </c>
      <c r="G20" s="29" t="n">
        <v>5000</v>
      </c>
      <c r="H20" s="30" t="n">
        <v>0.8</v>
      </c>
      <c r="I20" s="20" t="n">
        <v>10</v>
      </c>
      <c r="J20" s="20" t="inlineStr">
        <is>
          <t>Auto</t>
        </is>
      </c>
      <c r="K20" t="inlineStr">
        <is>
          <t>CdS (stable)</t>
        </is>
      </c>
      <c r="L20" s="20" t="n">
        <v>1.29</v>
      </c>
      <c r="M20" s="12">
        <f>Inputs!$B$7*E20^(-Inputs!$B$8)</f>
        <v/>
      </c>
      <c r="N20" s="31">
        <f>C20/1000000*Composition!$C$13</f>
        <v/>
      </c>
      <c r="O20">
        <f>IF($J20="Always",1,IF($J20="Immobilize",0,IF($F20+Balance!C$4*$G20&gt;$M20,1,0)))</f>
        <v/>
      </c>
      <c r="P20">
        <f>IF($J20="Always",1,IF($J20="Immobilize",0,IF($F20+Balance!D$4*$G20&gt;$M20,1,0)))</f>
        <v/>
      </c>
      <c r="Q20">
        <f>IF($J20="Always",1,IF($J20="Immobilize",0,IF($F20+Balance!E$4*$G20&gt;$M20,1,0)))</f>
        <v/>
      </c>
      <c r="R20">
        <f>IF($J20="Always",1,IF($J20="Immobilize",0,IF($F20+Balance!F$4*$G20&gt;$M20,1,0)))</f>
        <v/>
      </c>
      <c r="S20">
        <f>IF($J20="Always",1,IF($J20="Immobilize",0,IF($F20+Balance!G$4*$G20&gt;$M20,1,0)))</f>
        <v/>
      </c>
      <c r="T20" s="31">
        <f>$N20*$H20*O20</f>
        <v/>
      </c>
      <c r="U20" s="31">
        <f>$N20*$H20*P20</f>
        <v/>
      </c>
      <c r="V20" s="31">
        <f>$N20*$H20*Q20</f>
        <v/>
      </c>
      <c r="W20" s="31">
        <f>$N20*$H20*R20</f>
        <v/>
      </c>
      <c r="X20" s="31">
        <f>$N20*$H20*S20</f>
        <v/>
      </c>
    </row>
    <row r="21">
      <c r="A21" t="inlineStr">
        <is>
          <t>Mercury</t>
        </is>
      </c>
      <c r="B21" t="inlineStr">
        <is>
          <t>Hg</t>
        </is>
      </c>
      <c r="C21" s="26" t="n">
        <v>2</v>
      </c>
      <c r="D21" s="20" t="n">
        <v>50</v>
      </c>
      <c r="E21" s="27">
        <f>MIN(1,C21*D21/1000000)</f>
        <v/>
      </c>
      <c r="F21" s="28" t="n">
        <v>30</v>
      </c>
      <c r="G21" s="29" t="n">
        <v>50000</v>
      </c>
      <c r="H21" s="30" t="n">
        <v>0.9</v>
      </c>
      <c r="I21" s="20" t="n">
        <v>50</v>
      </c>
      <c r="J21" s="20" t="inlineStr">
        <is>
          <t>Auto</t>
        </is>
      </c>
      <c r="K21" t="inlineStr">
        <is>
          <t>HgS (cinnabar)</t>
        </is>
      </c>
      <c r="L21" s="20" t="n">
        <v>1.16</v>
      </c>
      <c r="M21" s="12">
        <f>Inputs!$B$7*E21^(-Inputs!$B$8)</f>
        <v/>
      </c>
      <c r="N21" s="31">
        <f>C21/1000000*Composition!$C$13</f>
        <v/>
      </c>
      <c r="O21">
        <f>IF($J21="Always",1,IF($J21="Immobilize",0,IF($F21+Balance!C$4*$G21&gt;$M21,1,0)))</f>
        <v/>
      </c>
      <c r="P21">
        <f>IF($J21="Always",1,IF($J21="Immobilize",0,IF($F21+Balance!D$4*$G21&gt;$M21,1,0)))</f>
        <v/>
      </c>
      <c r="Q21">
        <f>IF($J21="Always",1,IF($J21="Immobilize",0,IF($F21+Balance!E$4*$G21&gt;$M21,1,0)))</f>
        <v/>
      </c>
      <c r="R21">
        <f>IF($J21="Always",1,IF($J21="Immobilize",0,IF($F21+Balance!F$4*$G21&gt;$M21,1,0)))</f>
        <v/>
      </c>
      <c r="S21">
        <f>IF($J21="Always",1,IF($J21="Immobilize",0,IF($F21+Balance!G$4*$G21&gt;$M21,1,0)))</f>
        <v/>
      </c>
      <c r="T21" s="31">
        <f>$N21*$H21*O21</f>
        <v/>
      </c>
      <c r="U21" s="31">
        <f>$N21*$H21*P21</f>
        <v/>
      </c>
      <c r="V21" s="31">
        <f>$N21*$H21*Q21</f>
        <v/>
      </c>
      <c r="W21" s="31">
        <f>$N21*$H21*R21</f>
        <v/>
      </c>
      <c r="X21" s="31">
        <f>$N21*$H21*S21</f>
        <v/>
      </c>
    </row>
    <row r="22">
      <c r="A22" t="inlineStr">
        <is>
          <t>Arsenic</t>
        </is>
      </c>
      <c r="B22" t="inlineStr">
        <is>
          <t>As</t>
        </is>
      </c>
      <c r="C22" s="26" t="n">
        <v>10</v>
      </c>
      <c r="D22" s="20" t="n">
        <v>1</v>
      </c>
      <c r="E22" s="27">
        <f>MIN(1,C22*D22/1000000)</f>
        <v/>
      </c>
      <c r="F22" s="28" t="n">
        <v>1</v>
      </c>
      <c r="G22" s="29" t="n">
        <v>3000</v>
      </c>
      <c r="H22" s="30" t="n">
        <v>0.6</v>
      </c>
      <c r="I22" s="20" t="n">
        <v>10</v>
      </c>
      <c r="J22" s="20" t="inlineStr">
        <is>
          <t>Auto</t>
        </is>
      </c>
      <c r="K22" t="inlineStr">
        <is>
          <t>Scorodite FeAsO4.2H2O</t>
        </is>
      </c>
      <c r="L22" s="20" t="n">
        <v>3.08</v>
      </c>
      <c r="M22" s="12">
        <f>Inputs!$B$7*E22^(-Inputs!$B$8)</f>
        <v/>
      </c>
      <c r="N22" s="31">
        <f>C22/1000000*Composition!$C$13</f>
        <v/>
      </c>
      <c r="O22">
        <f>IF($J22="Always",1,IF($J22="Immobilize",0,IF($F22+Balance!C$4*$G22&gt;$M22,1,0)))</f>
        <v/>
      </c>
      <c r="P22">
        <f>IF($J22="Always",1,IF($J22="Immobilize",0,IF($F22+Balance!D$4*$G22&gt;$M22,1,0)))</f>
        <v/>
      </c>
      <c r="Q22">
        <f>IF($J22="Always",1,IF($J22="Immobilize",0,IF($F22+Balance!E$4*$G22&gt;$M22,1,0)))</f>
        <v/>
      </c>
      <c r="R22">
        <f>IF($J22="Always",1,IF($J22="Immobilize",0,IF($F22+Balance!F$4*$G22&gt;$M22,1,0)))</f>
        <v/>
      </c>
      <c r="S22">
        <f>IF($J22="Always",1,IF($J22="Immobilize",0,IF($F22+Balance!G$4*$G22&gt;$M22,1,0)))</f>
        <v/>
      </c>
      <c r="T22" s="31">
        <f>$N22*$H22*O22</f>
        <v/>
      </c>
      <c r="U22" s="31">
        <f>$N22*$H22*P22</f>
        <v/>
      </c>
      <c r="V22" s="31">
        <f>$N22*$H22*Q22</f>
        <v/>
      </c>
      <c r="W22" s="31">
        <f>$N22*$H22*R22</f>
        <v/>
      </c>
      <c r="X22" s="31">
        <f>$N22*$H22*S22</f>
        <v/>
      </c>
    </row>
    <row r="23">
      <c r="A23" t="inlineStr">
        <is>
          <t>Fluorine</t>
        </is>
      </c>
      <c r="B23" t="inlineStr">
        <is>
          <t>F</t>
        </is>
      </c>
      <c r="C23" s="26" t="n">
        <v>300</v>
      </c>
      <c r="D23" s="20" t="n">
        <v>1</v>
      </c>
      <c r="E23" s="27">
        <f>MIN(1,C23*D23/1000000)</f>
        <v/>
      </c>
      <c r="F23" s="28" t="n">
        <v>0.5</v>
      </c>
      <c r="G23" s="29" t="n">
        <v>20</v>
      </c>
      <c r="H23" s="30" t="n">
        <v>0.7</v>
      </c>
      <c r="I23" s="20" t="n">
        <v>2</v>
      </c>
      <c r="J23" s="20" t="inlineStr">
        <is>
          <t>Auto</t>
        </is>
      </c>
      <c r="K23" t="inlineStr">
        <is>
          <t>CaF2</t>
        </is>
      </c>
      <c r="L23" s="20" t="n">
        <v>2.05</v>
      </c>
      <c r="M23" s="12">
        <f>Inputs!$B$7*E23^(-Inputs!$B$8)</f>
        <v/>
      </c>
      <c r="N23" s="31">
        <f>C23/1000000*Composition!$C$13</f>
        <v/>
      </c>
      <c r="O23">
        <f>IF($J23="Always",1,IF($J23="Immobilize",0,IF($F23+Balance!C$4*$G23&gt;$M23,1,0)))</f>
        <v/>
      </c>
      <c r="P23">
        <f>IF($J23="Always",1,IF($J23="Immobilize",0,IF($F23+Balance!D$4*$G23&gt;$M23,1,0)))</f>
        <v/>
      </c>
      <c r="Q23">
        <f>IF($J23="Always",1,IF($J23="Immobilize",0,IF($F23+Balance!E$4*$G23&gt;$M23,1,0)))</f>
        <v/>
      </c>
      <c r="R23">
        <f>IF($J23="Always",1,IF($J23="Immobilize",0,IF($F23+Balance!F$4*$G23&gt;$M23,1,0)))</f>
        <v/>
      </c>
      <c r="S23">
        <f>IF($J23="Always",1,IF($J23="Immobilize",0,IF($F23+Balance!G$4*$G23&gt;$M23,1,0)))</f>
        <v/>
      </c>
      <c r="T23" s="31">
        <f>$N23*$H23*O23</f>
        <v/>
      </c>
      <c r="U23" s="31">
        <f>$N23*$H23*P23</f>
        <v/>
      </c>
      <c r="V23" s="31">
        <f>$N23*$H23*Q23</f>
        <v/>
      </c>
      <c r="W23" s="31">
        <f>$N23*$H23*R23</f>
        <v/>
      </c>
      <c r="X23" s="31">
        <f>$N23*$H23*S23</f>
        <v/>
      </c>
    </row>
    <row r="24">
      <c r="A24" t="inlineStr">
        <is>
          <t>Chlorine</t>
        </is>
      </c>
      <c r="B24" t="inlineStr">
        <is>
          <t>Cl</t>
        </is>
      </c>
      <c r="C24" s="26" t="n">
        <v>5000</v>
      </c>
      <c r="D24" s="20" t="n">
        <v>1</v>
      </c>
      <c r="E24" s="27">
        <f>MIN(1,C24*D24/1000000)</f>
        <v/>
      </c>
      <c r="F24" s="28" t="n">
        <v>0.05</v>
      </c>
      <c r="G24" s="29" t="n">
        <v>1</v>
      </c>
      <c r="H24" s="30" t="n">
        <v>0.9</v>
      </c>
      <c r="I24" s="20" t="n">
        <v>0.5</v>
      </c>
      <c r="J24" s="20" t="inlineStr">
        <is>
          <t>Always</t>
        </is>
      </c>
      <c r="K24" t="inlineStr">
        <is>
          <t>NaCl (off-gas scrubber)</t>
        </is>
      </c>
      <c r="L24" s="20" t="n">
        <v>1.65</v>
      </c>
      <c r="M24" s="12">
        <f>Inputs!$B$7*E24^(-Inputs!$B$8)</f>
        <v/>
      </c>
      <c r="N24" s="31">
        <f>C24/1000000*Composition!$C$13</f>
        <v/>
      </c>
      <c r="O24">
        <f>IF($J24="Always",1,IF($J24="Immobilize",0,IF($F24+Balance!C$4*$G24&gt;$M24,1,0)))</f>
        <v/>
      </c>
      <c r="P24">
        <f>IF($J24="Always",1,IF($J24="Immobilize",0,IF($F24+Balance!D$4*$G24&gt;$M24,1,0)))</f>
        <v/>
      </c>
      <c r="Q24">
        <f>IF($J24="Always",1,IF($J24="Immobilize",0,IF($F24+Balance!E$4*$G24&gt;$M24,1,0)))</f>
        <v/>
      </c>
      <c r="R24">
        <f>IF($J24="Always",1,IF($J24="Immobilize",0,IF($F24+Balance!F$4*$G24&gt;$M24,1,0)))</f>
        <v/>
      </c>
      <c r="S24">
        <f>IF($J24="Always",1,IF($J24="Immobilize",0,IF($F24+Balance!G$4*$G24&gt;$M24,1,0)))</f>
        <v/>
      </c>
      <c r="T24" s="31">
        <f>$N24*$H24*O24</f>
        <v/>
      </c>
      <c r="U24" s="31">
        <f>$N24*$H24*P24</f>
        <v/>
      </c>
      <c r="V24" s="31">
        <f>$N24*$H24*Q24</f>
        <v/>
      </c>
      <c r="W24" s="31">
        <f>$N24*$H24*R24</f>
        <v/>
      </c>
      <c r="X24" s="31">
        <f>$N24*$H24*S24</f>
        <v/>
      </c>
    </row>
    <row r="26">
      <c r="A26" s="2" t="inlineStr">
        <is>
          <t>Recovered elements (kg, elemental)</t>
        </is>
      </c>
      <c r="N26" s="2" t="inlineStr">
        <is>
          <t>Count recovered:</t>
        </is>
      </c>
      <c r="O26" s="2">
        <f>SUM(O5:O24)</f>
        <v/>
      </c>
      <c r="P26" s="2">
        <f>SUM(P5:P24)</f>
        <v/>
      </c>
      <c r="Q26" s="2">
        <f>SUM(Q5:Q24)</f>
        <v/>
      </c>
      <c r="R26" s="2">
        <f>SUM(R5:R24)</f>
        <v/>
      </c>
      <c r="S26" s="2">
        <f>SUM(S5:S24)</f>
        <v/>
      </c>
      <c r="T26" s="32">
        <f>SUM(T5:T24)</f>
        <v/>
      </c>
      <c r="U26" s="32">
        <f>SUM(U5:U24)</f>
        <v/>
      </c>
      <c r="V26" s="32">
        <f>SUM(V5:V24)</f>
        <v/>
      </c>
      <c r="W26" s="32">
        <f>SUM(W5:W24)</f>
        <v/>
      </c>
      <c r="X26" s="32">
        <f>SUM(X5:X24)</f>
        <v/>
      </c>
    </row>
    <row r="27">
      <c r="A27" s="2" t="inlineStr">
        <is>
          <t>Recovered products (kg, sold form)</t>
        </is>
      </c>
      <c r="T27" s="32">
        <f>SUMPRODUCT(T5:T24,$L$5:$L$24)</f>
        <v/>
      </c>
      <c r="U27" s="32">
        <f>SUMPRODUCT(U5:U24,$L$5:$L$24)</f>
        <v/>
      </c>
      <c r="V27" s="32">
        <f>SUMPRODUCT(V5:V24,$L$5:$L$24)</f>
        <v/>
      </c>
      <c r="W27" s="32">
        <f>SUMPRODUCT(W5:W24,$L$5:$L$24)</f>
        <v/>
      </c>
      <c r="X27" s="32">
        <f>SUMPRODUCT(X5:X24,$L$5:$L$24)</f>
        <v/>
      </c>
    </row>
    <row r="28">
      <c r="A28" s="2" t="inlineStr">
        <is>
          <t>Product revenue ($)</t>
        </is>
      </c>
      <c r="T28" s="32">
        <f>SUMPRODUCT(T5:T24,$F$5:$F$24)</f>
        <v/>
      </c>
      <c r="U28" s="32">
        <f>SUMPRODUCT(U5:U24,$F$5:$F$24)</f>
        <v/>
      </c>
      <c r="V28" s="32">
        <f>SUMPRODUCT(V5:V24,$F$5:$F$24)</f>
        <v/>
      </c>
      <c r="W28" s="32">
        <f>SUMPRODUCT(W5:W24,$F$5:$F$24)</f>
        <v/>
      </c>
      <c r="X28" s="32">
        <f>SUMPRODUCT(X5:X24,$F$5:$F$24)</f>
        <v/>
      </c>
    </row>
    <row r="29">
      <c r="A29" s="2" t="inlineStr">
        <is>
          <t>Recovery cost - Sherwood ($)</t>
        </is>
      </c>
      <c r="T29" s="32">
        <f>SUMPRODUCT(T5:T24,$M$5:$M$24)</f>
        <v/>
      </c>
      <c r="U29" s="32">
        <f>SUMPRODUCT(U5:U24,$M$5:$M$24)</f>
        <v/>
      </c>
      <c r="V29" s="32">
        <f>SUMPRODUCT(V5:V24,$M$5:$M$24)</f>
        <v/>
      </c>
      <c r="W29" s="32">
        <f>SUMPRODUCT(W5:W24,$M$5:$M$24)</f>
        <v/>
      </c>
      <c r="X29" s="32">
        <f>SUMPRODUCT(X5:X24,$M$5:$M$24)</f>
        <v/>
      </c>
    </row>
    <row r="30">
      <c r="A30" s="2" t="inlineStr">
        <is>
          <t>Environmental harm avoided ($)</t>
        </is>
      </c>
      <c r="T30" s="32">
        <f>SUMPRODUCT(T5:T24,$G$5:$G$24)</f>
        <v/>
      </c>
      <c r="U30" s="32">
        <f>SUMPRODUCT(U5:U24,$G$5:$G$24)</f>
        <v/>
      </c>
      <c r="V30" s="32">
        <f>SUMPRODUCT(V5:V24,$G$5:$G$24)</f>
        <v/>
      </c>
      <c r="W30" s="32">
        <f>SUMPRODUCT(W5:W24,$G$5:$G$24)</f>
        <v/>
      </c>
      <c r="X30" s="32">
        <f>SUMPRODUCT(X5:X24,$G$5:$G$24)</f>
        <v/>
      </c>
    </row>
    <row r="31">
      <c r="A31" s="2" t="inlineStr">
        <is>
          <t>Refining energy (kWh)</t>
        </is>
      </c>
      <c r="T31" s="32">
        <f>SUMPRODUCT(T5:T24,$I$5:$I$24)</f>
        <v/>
      </c>
      <c r="U31" s="32">
        <f>SUMPRODUCT(U5:U24,$I$5:$I$24)</f>
        <v/>
      </c>
      <c r="V31" s="32">
        <f>SUMPRODUCT(V5:V24,$I$5:$I$24)</f>
        <v/>
      </c>
      <c r="W31" s="32">
        <f>SUMPRODUCT(W5:W24,$I$5:$I$24)</f>
        <v/>
      </c>
      <c r="X31" s="32">
        <f>SUMPRODUCT(X5:X24,$I$5:$I$24)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2026-09-28T16:33:24Z</dcterms:created>
  <dcterms:modified xsi:type="dcterms:W3CDTF">2026-09-28T16:33:24Z</dcterms:modified>
</cp:coreProperties>
</file>